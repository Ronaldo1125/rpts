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A0F3F3E6-D120-4060-9EFF-6CF86A0ED225}" xr6:coauthVersionLast="47" xr6:coauthVersionMax="47" xr10:uidLastSave="{00000000-0000-0000-0000-000000000000}"/>
  <bookViews>
    <workbookView xWindow="-108" yWindow="-108" windowWidth="23256" windowHeight="12456" xr2:uid="{00000000-000D-0000-FFFF-FFFF00000000}"/>
  </bookViews>
  <sheets>
    <sheet name="TOI" sheetId="1" r:id="rId1"/>
    <sheet name="ORS-BURS" sheetId="3" r:id="rId2"/>
    <sheet name="Rates" sheetId="4" state="hidden" r:id="rId3"/>
  </sheets>
  <externalReferences>
    <externalReference r:id="rId4"/>
  </externalReferences>
  <definedNames>
    <definedName name="Excel_BuiltIn__FilterDatabase_7" localSheetId="1">#REF!</definedName>
    <definedName name="Excel_BuiltIn__FilterDatabase_7">#REF!</definedName>
    <definedName name="Excel_BuiltIn_Print_Area_2" localSheetId="1">#REF!</definedName>
    <definedName name="Excel_BuiltIn_Print_Area_2">#REF!</definedName>
    <definedName name="Excel_BuiltIn_Print_Area_47" localSheetId="1">#REF!</definedName>
    <definedName name="Excel_BuiltIn_Print_Area_47">#REF!</definedName>
    <definedName name="Excel_BuiltIn_Print_Area_57" localSheetId="1">#REF!</definedName>
    <definedName name="Excel_BuiltIn_Print_Area_57">#REF!</definedName>
    <definedName name="Excel_BuiltIn_Print_Area_61" localSheetId="1">#REF!</definedName>
    <definedName name="Excel_BuiltIn_Print_Area_61">#REF!</definedName>
    <definedName name="MFO" localSheetId="1">'ORS-BURS'!$N$12:$N$18</definedName>
    <definedName name="MFO">#REF!</definedName>
    <definedName name="nca" localSheetId="1">#REF!</definedName>
    <definedName name="nca">#REF!</definedName>
    <definedName name="NEDA">'ORS-BURS'!$O$3:$O$9</definedName>
    <definedName name="NEDA_General_Fund">'ORS-BURS'!$O$3:$O$9</definedName>
    <definedName name="_xlnm.Print_Area" localSheetId="1">'ORS-BURS'!$A$2:$L$46,'ORS-BURS'!$AC$2:$AJ$46</definedName>
    <definedName name="_xlnm.Print_Area" localSheetId="0">TOI!$A$1:$K$34</definedName>
    <definedName name="RDC">'ORS-BURS'!$P$3:$P$4</definedName>
    <definedName name="RDC_General_Fund">'ORS-BURS'!$P$3:$P$9</definedName>
    <definedName name="su">'[1]823'!$A$40:$F$46</definedName>
    <definedName name="Trust">'ORS-BURS'!$Q$3</definedName>
    <definedName name="Trust_Fund">'ORS-BURS'!$Q$3:$Q$9</definedName>
    <definedName name="UACS" localSheetId="1">'ORS-BURS'!$N$21:$N$22</definedName>
    <definedName name="UACS">#REF!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 i="3" l="1"/>
  <c r="K15" i="1"/>
  <c r="K17" i="1"/>
  <c r="K21" i="1"/>
  <c r="K19" i="1"/>
  <c r="K22" i="1"/>
  <c r="K13" i="1"/>
  <c r="K14" i="1"/>
  <c r="A29" i="1"/>
  <c r="D6" i="3"/>
  <c r="F10" i="4"/>
  <c r="D10" i="4"/>
  <c r="E10" i="4" s="1"/>
  <c r="C10" i="4"/>
  <c r="F9" i="4"/>
  <c r="D9" i="4"/>
  <c r="E9" i="4" s="1"/>
  <c r="C9" i="4"/>
  <c r="F8" i="4"/>
  <c r="D8" i="4"/>
  <c r="E8" i="4" s="1"/>
  <c r="C8" i="4"/>
  <c r="K23" i="1" l="1"/>
  <c r="A2" i="3"/>
  <c r="C29" i="3" l="1"/>
  <c r="C28" i="3"/>
  <c r="K3" i="3"/>
  <c r="D12" i="3"/>
  <c r="B37" i="3" s="1"/>
  <c r="K10" i="3" l="1"/>
  <c r="K21" i="3" s="1"/>
  <c r="A2" i="1"/>
  <c r="AG29" i="3"/>
  <c r="N22" i="3"/>
  <c r="N21" i="3"/>
  <c r="Q16" i="3"/>
  <c r="P16" i="3"/>
  <c r="R16" i="3" s="1"/>
  <c r="Q15" i="3"/>
  <c r="P15" i="3"/>
  <c r="R15" i="3" s="1"/>
  <c r="AI14" i="3"/>
  <c r="AC14" i="3"/>
  <c r="Z14" i="3"/>
  <c r="Y14" i="3"/>
  <c r="Q14" i="3"/>
  <c r="P14" i="3"/>
  <c r="R14" i="3" s="1"/>
  <c r="AA13" i="3"/>
  <c r="Z13" i="3"/>
  <c r="Y13" i="3"/>
  <c r="Q13" i="3"/>
  <c r="P13" i="3"/>
  <c r="R13" i="3" s="1"/>
  <c r="AA12" i="3"/>
  <c r="Z12" i="3"/>
  <c r="Y12" i="3"/>
  <c r="Q12" i="3"/>
  <c r="P12" i="3"/>
  <c r="R12" i="3" s="1"/>
  <c r="AA11" i="3"/>
  <c r="Z11" i="3"/>
  <c r="Y11" i="3"/>
  <c r="Q11" i="3"/>
  <c r="P11" i="3"/>
  <c r="R11" i="3" s="1"/>
  <c r="A11" i="3"/>
  <c r="AA10" i="3"/>
  <c r="Z10" i="3"/>
  <c r="Y10" i="3"/>
  <c r="AA9" i="3"/>
  <c r="Z9" i="3"/>
  <c r="Y9" i="3"/>
  <c r="AH8" i="3"/>
  <c r="AA8" i="3"/>
  <c r="Z8" i="3"/>
  <c r="Y8" i="3"/>
  <c r="AA7" i="3"/>
  <c r="Z7" i="3"/>
  <c r="Y7" i="3"/>
  <c r="AD8" i="3"/>
  <c r="AA6" i="3"/>
  <c r="Z6" i="3"/>
  <c r="Y6" i="3"/>
  <c r="AD5" i="3"/>
  <c r="AA5" i="3"/>
  <c r="Z5" i="3"/>
  <c r="Y5" i="3"/>
  <c r="V3" i="3"/>
  <c r="AD4" i="3"/>
  <c r="AA4" i="3"/>
  <c r="Z4" i="3"/>
  <c r="Y4" i="3"/>
  <c r="Z3" i="3"/>
  <c r="Y3" i="3"/>
  <c r="X3" i="3"/>
  <c r="W3" i="3"/>
  <c r="A37" i="3"/>
  <c r="A3" i="3"/>
  <c r="A1" i="1" s="1"/>
  <c r="AD7" i="3" l="1"/>
  <c r="AA3" i="3"/>
  <c r="AA14" i="3"/>
  <c r="H37" i="3"/>
  <c r="K37" i="3" s="1"/>
  <c r="AE14" i="3"/>
  <c r="U3" i="3"/>
  <c r="AI4" i="3"/>
  <c r="C30" i="3"/>
  <c r="AC43" i="3" l="1"/>
  <c r="AC24" i="3"/>
</calcChain>
</file>

<file path=xl/sharedStrings.xml><?xml version="1.0" encoding="utf-8"?>
<sst xmlns="http://schemas.openxmlformats.org/spreadsheetml/2006/main" count="214" uniqueCount="169">
  <si>
    <t>Per approved Itinerary of Travel, actual expenses for meals, gasoline, toll fees, per diems and miscellaneous expenses are hereby authorized chargeable against the allocation for travel expenditures, subject to availability of funds and the usual accounting and auditing rules and regulations.</t>
  </si>
  <si>
    <t>Upon completion of travel, the usual certificate of appearance and certificate of travel completed shall be submitted to the Administrative Staff and report thereon shall be submitted within fifteen (15) days from completion of said travel, otherwise, the amount corresponding to said cash advances shall be deducted from the next succeeding payday.</t>
  </si>
  <si>
    <t>ITINERARY OF TRAVEL</t>
  </si>
  <si>
    <t>DATE</t>
  </si>
  <si>
    <t>PLACE</t>
  </si>
  <si>
    <t>TIME</t>
  </si>
  <si>
    <t>ETD</t>
  </si>
  <si>
    <t>ETA</t>
  </si>
  <si>
    <t>TRAVEL EXPENSES</t>
  </si>
  <si>
    <t>Incidental Expenses</t>
  </si>
  <si>
    <t>Total</t>
  </si>
  <si>
    <r>
      <rPr>
        <b/>
        <sz val="11"/>
        <color theme="1"/>
        <rFont val="Tahoma"/>
        <family val="2"/>
      </rPr>
      <t>Local Travel Order No.</t>
    </r>
    <r>
      <rPr>
        <sz val="11"/>
        <color theme="1"/>
        <rFont val="Tahoma"/>
        <family val="2"/>
      </rPr>
      <t xml:space="preserve"> _________________</t>
    </r>
  </si>
  <si>
    <t>Requesting for cash advance:</t>
  </si>
  <si>
    <t xml:space="preserve">NAME: </t>
  </si>
  <si>
    <t xml:space="preserve">DESTINATION: </t>
  </si>
  <si>
    <t xml:space="preserve">POSITION: </t>
  </si>
  <si>
    <t xml:space="preserve">STATION: </t>
  </si>
  <si>
    <t xml:space="preserve">PURPOSE: </t>
  </si>
  <si>
    <t xml:space="preserve">DATE PREPARED: </t>
  </si>
  <si>
    <t>THESE COLUMNS ARE LINKED WITH THE TEMPLATE. PLEASE DO NOT MAKE ANY CHANGES. THANK YOU.</t>
  </si>
  <si>
    <t>Serial No. :</t>
  </si>
  <si>
    <t>NEDA</t>
  </si>
  <si>
    <t>RDC</t>
  </si>
  <si>
    <t>Trust</t>
  </si>
  <si>
    <t>Date</t>
  </si>
  <si>
    <t>Payee</t>
  </si>
  <si>
    <t>Responsibility Center</t>
  </si>
  <si>
    <t>Particulars</t>
  </si>
  <si>
    <t>MFO/PAP</t>
  </si>
  <si>
    <t>UACS Object Code</t>
  </si>
  <si>
    <t>Amount</t>
  </si>
  <si>
    <t>PETTY CASH VOUCHER</t>
  </si>
  <si>
    <t>No. : ___________________</t>
  </si>
  <si>
    <t xml:space="preserve">Date : </t>
  </si>
  <si>
    <t>NEDA General Fund</t>
  </si>
  <si>
    <t>GAS 100000100001000</t>
  </si>
  <si>
    <t>RDC 310100100003000</t>
  </si>
  <si>
    <t>Arimbay Legazpi City</t>
  </si>
  <si>
    <t xml:space="preserve">Fund Cluster : </t>
  </si>
  <si>
    <t>01 RAF</t>
  </si>
  <si>
    <t>MOOE</t>
  </si>
  <si>
    <t>RDC General Fund</t>
  </si>
  <si>
    <t>PFPD 310100100001000</t>
  </si>
  <si>
    <t>RPMES 310300100001000</t>
  </si>
  <si>
    <t xml:space="preserve">Entity Name : </t>
  </si>
  <si>
    <t>Trust Fund</t>
  </si>
  <si>
    <t>TSSS IAC 310100100002000</t>
  </si>
  <si>
    <t xml:space="preserve">Fund Cluster:   </t>
  </si>
  <si>
    <t>Office</t>
  </si>
  <si>
    <t>SS RDC 310100100003000</t>
  </si>
  <si>
    <t>Address</t>
  </si>
  <si>
    <t>DRD 310100100004000</t>
  </si>
  <si>
    <t xml:space="preserve">Payee/Office : </t>
  </si>
  <si>
    <t>Responsibility Center Code:</t>
  </si>
  <si>
    <t>PDIBPD 310200100002000</t>
  </si>
  <si>
    <t xml:space="preserve">Address : </t>
  </si>
  <si>
    <t>Catering services during the</t>
  </si>
  <si>
    <t>PMED 310300100001000</t>
  </si>
  <si>
    <t>Travel allowance for the following purpose:</t>
  </si>
  <si>
    <t>Traveling Expenses-local 50201010 00</t>
  </si>
  <si>
    <t>MFO</t>
  </si>
  <si>
    <t xml:space="preserve"> I.  To be filled out upon request</t>
  </si>
  <si>
    <t xml:space="preserve"> II.  To be filled out upon liquidation</t>
  </si>
  <si>
    <t>Total Amount Granted</t>
  </si>
  <si>
    <t>This box is for FAD use. Please do not make any changes. Thank you.</t>
  </si>
  <si>
    <t>Total Amount Paid per</t>
  </si>
  <si>
    <t>OR/Invoice No.</t>
  </si>
  <si>
    <t>Amount Refunded/ (Reimbursed)</t>
  </si>
  <si>
    <t>UACS Code</t>
  </si>
  <si>
    <t>Traveling Expenses-local</t>
  </si>
  <si>
    <t>50201010 00</t>
  </si>
  <si>
    <t>Requested by:</t>
  </si>
  <si>
    <t>A.</t>
  </si>
  <si>
    <t>Charges to appropriation/allotment are</t>
  </si>
  <si>
    <t>B.</t>
  </si>
  <si>
    <t>Training Expenses</t>
  </si>
  <si>
    <t>50202010 00</t>
  </si>
  <si>
    <t>Received Refund</t>
  </si>
  <si>
    <t>Certified:</t>
  </si>
  <si>
    <t>necessary, lawful and under my direct supervision;and</t>
  </si>
  <si>
    <r>
      <t>Certified:</t>
    </r>
    <r>
      <rPr>
        <sz val="11"/>
        <rFont val="Arial"/>
        <family val="2"/>
      </rPr>
      <t xml:space="preserve">  Allotment available and obligated  for the </t>
    </r>
  </si>
  <si>
    <t>Reimbursement Paid</t>
  </si>
  <si>
    <t>supporting documents valid, proper and legal</t>
  </si>
  <si>
    <t>purpose/adjustment necessary as  indicated above</t>
  </si>
  <si>
    <t>Name of Requestor</t>
  </si>
  <si>
    <t xml:space="preserve"> Signature over Printed Name</t>
  </si>
  <si>
    <t xml:space="preserve">Signature      : </t>
  </si>
  <si>
    <t>Signature      :</t>
  </si>
  <si>
    <t xml:space="preserve">Printed Name: </t>
  </si>
  <si>
    <t>Printed Name:</t>
  </si>
  <si>
    <t>Approved by:</t>
  </si>
  <si>
    <t>Position:</t>
  </si>
  <si>
    <t>Position        :</t>
  </si>
  <si>
    <t>Date:</t>
  </si>
  <si>
    <t>Date             :</t>
  </si>
  <si>
    <t>AGNES E. TOLENTINO</t>
  </si>
  <si>
    <t>Petty Cash Custodian</t>
  </si>
  <si>
    <t>C.</t>
  </si>
  <si>
    <t>STATUS OF OBLIGATION</t>
  </si>
  <si>
    <t>Reference</t>
  </si>
  <si>
    <t>Name of Immediate Supervisor</t>
  </si>
  <si>
    <t>ORS/JEV/Check/        ADA/TRA No.</t>
  </si>
  <si>
    <t>Obligation</t>
  </si>
  <si>
    <t>Payable</t>
  </si>
  <si>
    <t>Payment</t>
  </si>
  <si>
    <t>Balance</t>
  </si>
  <si>
    <t>Not Yet Due</t>
  </si>
  <si>
    <t>Due and Demandable</t>
  </si>
  <si>
    <t xml:space="preserve">       Paid by:</t>
  </si>
  <si>
    <t xml:space="preserve">
Liquidation Submitted</t>
  </si>
  <si>
    <t>(a)</t>
  </si>
  <si>
    <t>(b)</t>
  </si>
  <si>
    <t>(c)</t>
  </si>
  <si>
    <t>(a-b)</t>
  </si>
  <si>
    <t>(b-c)</t>
  </si>
  <si>
    <t>GWENDOLYN S. BITARE</t>
  </si>
  <si>
    <t>Reimbursement Received by:</t>
  </si>
  <si>
    <t xml:space="preserve">       Cash Received by:</t>
  </si>
  <si>
    <t>__________________________</t>
  </si>
  <si>
    <t>Date:  _______________</t>
  </si>
  <si>
    <r>
      <rPr>
        <sz val="10"/>
        <color theme="1"/>
        <rFont val="Tahoma"/>
        <family val="2"/>
      </rPr>
      <t>REVIEWED/RECOMMENDING APPROVAL:</t>
    </r>
    <r>
      <rPr>
        <sz val="9"/>
        <color theme="1"/>
        <rFont val="Tahoma"/>
        <family val="2"/>
      </rPr>
      <t xml:space="preserve">
     </t>
    </r>
    <r>
      <rPr>
        <sz val="8"/>
        <color theme="1"/>
        <rFont val="Tahoma"/>
        <family val="2"/>
      </rPr>
      <t xml:space="preserve">I certify that: (1) I reviewed the foregoing itinerary, (2) the travel is necessary to the service, (3) the period covered is reasonable, (4) the expenses claimed are proper.
                                                           </t>
    </r>
  </si>
  <si>
    <t>ORS No.</t>
  </si>
  <si>
    <t>Transportation</t>
  </si>
  <si>
    <t>Lodging</t>
  </si>
  <si>
    <t>Meals</t>
  </si>
  <si>
    <t>Transportation Means</t>
  </si>
  <si>
    <t>ORS/BURS No.</t>
  </si>
  <si>
    <t>APPROVED:</t>
  </si>
  <si>
    <t>TRAVEL PERIOD:</t>
  </si>
  <si>
    <r>
      <t>PREPARED BY:
                  _______</t>
    </r>
    <r>
      <rPr>
        <sz val="11"/>
        <color theme="1"/>
        <rFont val="Tahoma"/>
        <family val="2"/>
      </rPr>
      <t xml:space="preserve">
                            Position </t>
    </r>
  </si>
  <si>
    <t>ANNEX A</t>
  </si>
  <si>
    <t>GUIDE IN COMPUTING DAILY ALLOWANCE FOR LOCAL TRAVELS BEYOND 50-KM RADIUS</t>
  </si>
  <si>
    <t>Destination</t>
  </si>
  <si>
    <t>Maximum Allowance</t>
  </si>
  <si>
    <t>Lodging (50%)</t>
  </si>
  <si>
    <t>Per Diem (30% or 10% per meal)</t>
  </si>
  <si>
    <t>Incidental (20%)</t>
  </si>
  <si>
    <t>Per Diem</t>
  </si>
  <si>
    <t>Per Meal</t>
  </si>
  <si>
    <t>Regions 1, 2 3, 5, 8, 9, 12, 13, ARMM</t>
  </si>
  <si>
    <t>Regions 6, 7, 10, 11, CAR</t>
  </si>
  <si>
    <t>Regions 4-A, 4-B, NCR</t>
  </si>
  <si>
    <t>The allowance shall be apportioned as follows:</t>
  </si>
  <si>
    <r>
      <rPr>
        <b/>
        <sz val="11"/>
        <color theme="1"/>
        <rFont val="Calibri"/>
        <family val="2"/>
        <scheme val="minor"/>
      </rPr>
      <t>100%</t>
    </r>
    <r>
      <rPr>
        <sz val="11"/>
        <color theme="1"/>
        <rFont val="Calibri"/>
        <family val="2"/>
        <scheme val="minor"/>
      </rPr>
      <t xml:space="preserve"> : Day of </t>
    </r>
    <r>
      <rPr>
        <b/>
        <sz val="11"/>
        <color theme="1"/>
        <rFont val="Calibri"/>
        <family val="2"/>
        <scheme val="minor"/>
      </rPr>
      <t xml:space="preserve">arrival </t>
    </r>
    <r>
      <rPr>
        <sz val="11"/>
        <color theme="1"/>
        <rFont val="Calibri"/>
        <family val="2"/>
        <scheme val="minor"/>
      </rPr>
      <t>at point of destination (regardless of time) and succeeding days thereof on official business (50% lodgin/accommodation; 30% meals; 20% incidental expenses)</t>
    </r>
  </si>
  <si>
    <r>
      <rPr>
        <b/>
        <sz val="11"/>
        <color theme="1"/>
        <rFont val="Calibri"/>
        <family val="2"/>
        <scheme val="minor"/>
      </rPr>
      <t>50%</t>
    </r>
    <r>
      <rPr>
        <sz val="11"/>
        <color theme="1"/>
        <rFont val="Calibri"/>
        <family val="2"/>
        <scheme val="minor"/>
      </rPr>
      <t xml:space="preserve"> : Day of </t>
    </r>
    <r>
      <rPr>
        <b/>
        <sz val="11"/>
        <color theme="1"/>
        <rFont val="Calibri"/>
        <family val="2"/>
        <scheme val="minor"/>
      </rPr>
      <t xml:space="preserve">departure </t>
    </r>
    <r>
      <rPr>
        <sz val="11"/>
        <color theme="1"/>
        <rFont val="Calibri"/>
        <family val="2"/>
        <scheme val="minor"/>
      </rPr>
      <t>for permanent official station (regardless of time) if other than date of arrival (30% meals; 20% incidental expenses)</t>
    </r>
  </si>
  <si>
    <t>Note: The corresponding allowance for any meals provided by the government during the official travel shall not be deducted from the travel claim.</t>
  </si>
  <si>
    <t>Arimbay, Legazpi City</t>
  </si>
  <si>
    <r>
      <t xml:space="preserve">                                                                                                                                                            </t>
    </r>
    <r>
      <rPr>
        <b/>
        <sz val="8"/>
        <color theme="1"/>
        <rFont val="Tahoma"/>
        <family val="2"/>
      </rPr>
      <t>TOTAL</t>
    </r>
    <r>
      <rPr>
        <sz val="8"/>
        <color theme="1"/>
        <rFont val="Tahoma"/>
        <family val="2"/>
      </rPr>
      <t xml:space="preserve">             </t>
    </r>
    <r>
      <rPr>
        <b/>
        <sz val="8"/>
        <color theme="1"/>
        <rFont val="Tahoma"/>
        <family val="2"/>
      </rPr>
      <t xml:space="preserve">  </t>
    </r>
    <r>
      <rPr>
        <b/>
        <strike/>
        <sz val="8"/>
        <color theme="1"/>
        <rFont val="Tahoma"/>
        <family val="2"/>
      </rPr>
      <t>P</t>
    </r>
    <r>
      <rPr>
        <sz val="8"/>
        <color theme="1"/>
        <rFont val="Tahoma"/>
        <family val="2"/>
      </rPr>
      <t xml:space="preserve"> </t>
    </r>
  </si>
  <si>
    <t>JASMIN C. ZANTUA</t>
  </si>
  <si>
    <t>OIC Assistant Regional Director</t>
  </si>
  <si>
    <t>DEPDev Vehicle</t>
  </si>
  <si>
    <t>DEPDev Region 5</t>
  </si>
  <si>
    <t>MARINEE OBING</t>
  </si>
  <si>
    <t>OIC Head, Budget Division/Unit/Authorized Representative</t>
  </si>
  <si>
    <t>Province of Sorsogon</t>
  </si>
  <si>
    <t>Field verification of flood control projects in the Province of Sorsogon</t>
  </si>
  <si>
    <t>September 22 to 26, 2025</t>
  </si>
  <si>
    <t>09/22/2025</t>
  </si>
  <si>
    <t>Official Station to Sorsogon City</t>
  </si>
  <si>
    <t>Sorsogon City to Official Station</t>
  </si>
  <si>
    <t>09/23/2025</t>
  </si>
  <si>
    <t>09/24/2025</t>
  </si>
  <si>
    <t>09/25/2025</t>
  </si>
  <si>
    <t>09/26/2025</t>
  </si>
  <si>
    <t>September 17,2025</t>
  </si>
  <si>
    <t>Chief AO, FAD</t>
  </si>
  <si>
    <t>Information Systems Analyst II</t>
  </si>
  <si>
    <t>RONALDO B. BAÑAS</t>
  </si>
  <si>
    <t>Ronaldo B. Bañas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</si>
</sst>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0_);_(* \(#,##0\);_(* &quot;-&quot;_);_(@_)"/>
    <numFmt numFmtId="43" formatCode="_(* #,##0.00_);_(* \(#,##0.00\);_(* &quot;-&quot;??_);_(@_)"/>
    <numFmt numFmtId="164" formatCode="&quot;₱&quot;#,##0;\-&quot;₱&quot;#,##0"/>
    <numFmt numFmtId="165" formatCode="_-* #,##0.00_-;\-* #,##0.00_-;_-* &quot;-&quot;??_-;_-@_-"/>
    <numFmt numFmtId="166" formatCode="[$-3409]mmmm\ dd\,\ yyyy;@"/>
    <numFmt numFmtId="167" formatCode="_(&quot;P&quot;* #,##0.00_);_(&quot;P&quot;* \(#,##0.00\);_(&quot;P&quot;* &quot;-&quot;??_);_(@_)"/>
    <numFmt numFmtId="168" formatCode="_(* #,##0_);_(* \(#,##0\);_(* &quot;-&quot;??_);_(@_)"/>
    <numFmt numFmtId="169" formatCode="mm/dd/yy;@"/>
    <numFmt numFmtId="170" formatCode="[$-3409]dd\-mmm\-yy;@"/>
    <numFmt numFmtId="171" formatCode="_-* #,##0_-;\-* #,##0_-;_-* &quot;-&quot;??_-;_-@_-"/>
    <numFmt numFmtId="172" formatCode="_-* #,##0_-;\-* #,##0_-;_-* &quot;-&quot;?_-;_-@_-"/>
  </numFmts>
  <fonts count="41" x14ac:knownFonts="1">
    <font>
      <sz val="11"/>
      <color theme="1"/>
      <name val="Calibri"/>
      <family val="2"/>
      <scheme val="minor"/>
    </font>
    <font>
      <b/>
      <sz val="11"/>
      <color theme="1"/>
      <name val="Calibri"/>
      <family val="2"/>
      <scheme val="minor"/>
    </font>
    <font>
      <sz val="11"/>
      <color theme="1"/>
      <name val="Tahoma"/>
      <family val="2"/>
    </font>
    <font>
      <sz val="8"/>
      <color theme="1"/>
      <name val="Tahoma"/>
      <family val="2"/>
    </font>
    <font>
      <b/>
      <sz val="11"/>
      <color theme="1"/>
      <name val="Tahoma"/>
      <family val="2"/>
    </font>
    <font>
      <sz val="9"/>
      <color theme="1"/>
      <name val="Tahoma"/>
      <family val="2"/>
    </font>
    <font>
      <b/>
      <sz val="9"/>
      <color theme="1"/>
      <name val="Calibri"/>
      <family val="2"/>
      <scheme val="minor"/>
    </font>
    <font>
      <b/>
      <sz val="7"/>
      <color theme="1"/>
      <name val="Calibri"/>
      <family val="2"/>
      <scheme val="minor"/>
    </font>
    <font>
      <sz val="11"/>
      <color theme="1"/>
      <name val="Calibri"/>
      <family val="2"/>
      <scheme val="minor"/>
    </font>
    <font>
      <b/>
      <sz val="12"/>
      <color theme="1"/>
      <name val="Calibri"/>
      <family val="2"/>
      <scheme val="minor"/>
    </font>
    <font>
      <b/>
      <sz val="10"/>
      <color theme="1"/>
      <name val="Calibri"/>
      <family val="2"/>
      <scheme val="minor"/>
    </font>
    <font>
      <sz val="10"/>
      <color theme="1"/>
      <name val="Tahoma"/>
      <family val="2"/>
    </font>
    <font>
      <sz val="8"/>
      <color theme="1"/>
      <name val="Calibri"/>
      <family val="2"/>
      <scheme val="minor"/>
    </font>
    <font>
      <b/>
      <sz val="8"/>
      <color theme="1"/>
      <name val="Tahoma"/>
      <family val="2"/>
    </font>
    <font>
      <b/>
      <strike/>
      <sz val="8"/>
      <color theme="1"/>
      <name val="Tahoma"/>
      <family val="2"/>
    </font>
    <font>
      <sz val="11"/>
      <color indexed="8"/>
      <name val="Calibri"/>
      <family val="2"/>
    </font>
    <font>
      <sz val="10"/>
      <color theme="0"/>
      <name val="Arial"/>
      <family val="2"/>
    </font>
    <font>
      <sz val="10"/>
      <name val="Arial"/>
      <family val="2"/>
    </font>
    <font>
      <i/>
      <sz val="11"/>
      <name val="Times New Roman"/>
      <family val="1"/>
    </font>
    <font>
      <b/>
      <sz val="14"/>
      <name val="Arial"/>
      <family val="2"/>
    </font>
    <font>
      <sz val="11"/>
      <name val="Arial"/>
      <family val="2"/>
    </font>
    <font>
      <b/>
      <sz val="11"/>
      <name val="Times New Roman"/>
      <family val="1"/>
    </font>
    <font>
      <sz val="11"/>
      <name val="Times New Roman"/>
      <family val="1"/>
    </font>
    <font>
      <b/>
      <sz val="11"/>
      <color theme="1"/>
      <name val="Times New Roman"/>
      <family val="1"/>
    </font>
    <font>
      <b/>
      <sz val="11"/>
      <name val="Arial"/>
      <family val="2"/>
    </font>
    <font>
      <b/>
      <sz val="11"/>
      <color indexed="8"/>
      <name val="Calibri"/>
      <family val="2"/>
    </font>
    <font>
      <sz val="11"/>
      <color indexed="8"/>
      <name val="Arial"/>
      <family val="2"/>
    </font>
    <font>
      <sz val="10"/>
      <color rgb="FFFF0000"/>
      <name val="Arial"/>
      <family val="2"/>
    </font>
    <font>
      <b/>
      <i/>
      <sz val="11"/>
      <name val="Times New Roman"/>
      <family val="1"/>
    </font>
    <font>
      <i/>
      <sz val="10"/>
      <name val="Arial"/>
      <family val="2"/>
    </font>
    <font>
      <sz val="9"/>
      <name val="Times New Roman"/>
      <family val="1"/>
    </font>
    <font>
      <u val="double"/>
      <sz val="11"/>
      <name val="Times New Roman"/>
      <family val="1"/>
    </font>
    <font>
      <b/>
      <sz val="10"/>
      <name val="Arial"/>
      <family val="2"/>
    </font>
    <font>
      <b/>
      <u/>
      <sz val="11"/>
      <name val="Times New Roman"/>
      <family val="1"/>
    </font>
    <font>
      <sz val="8"/>
      <name val="Arial"/>
      <family val="2"/>
    </font>
    <font>
      <sz val="11"/>
      <color theme="1"/>
      <name val="Times New Roman"/>
      <family val="1"/>
    </font>
    <font>
      <b/>
      <sz val="16"/>
      <color theme="1"/>
      <name val="Calibri"/>
      <family val="2"/>
      <scheme val="minor"/>
    </font>
    <font>
      <sz val="8"/>
      <color rgb="FF000000"/>
      <name val="Segoe UI"/>
      <family val="2"/>
    </font>
    <font>
      <b/>
      <sz val="14"/>
      <color theme="1"/>
      <name val="Calibri"/>
      <family val="2"/>
      <scheme val="minor"/>
    </font>
    <font>
      <sz val="9"/>
      <name val="Arial"/>
      <family val="2"/>
    </font>
    <font>
      <u/>
      <sz val="11"/>
      <color theme="10"/>
      <name val="Calibri"/>
      <family val="2"/>
      <scheme val="minor"/>
    </font>
  </fonts>
  <fills count="5">
    <fill>
      <patternFill patternType="none"/>
    </fill>
    <fill>
      <patternFill patternType="gray125"/>
    </fill>
    <fill>
      <patternFill patternType="solid">
        <fgColor rgb="FF003300"/>
        <bgColor indexed="64"/>
      </patternFill>
    </fill>
    <fill>
      <patternFill patternType="solid">
        <fgColor rgb="FFCCFFCC"/>
        <bgColor indexed="64"/>
      </patternFill>
    </fill>
    <fill>
      <patternFill patternType="solid">
        <fgColor rgb="FFFFCCFF"/>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thin">
        <color indexed="64"/>
      </right>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s>
  <cellStyleXfs count="10">
    <xf numFmtId="0" fontId="0" fillId="0" borderId="0"/>
    <xf numFmtId="165" fontId="8" fillId="0" borderId="0" applyFont="0" applyFill="0" applyBorder="0" applyAlignment="0" applyProtection="0"/>
    <xf numFmtId="0" fontId="15" fillId="0" borderId="0"/>
    <xf numFmtId="0" fontId="17" fillId="0" borderId="0"/>
    <xf numFmtId="0" fontId="8" fillId="0" borderId="0"/>
    <xf numFmtId="43" fontId="15" fillId="0" borderId="0" applyFont="0" applyFill="0" applyBorder="0" applyAlignment="0" applyProtection="0"/>
    <xf numFmtId="43" fontId="17" fillId="0" borderId="0" applyFont="0" applyFill="0" applyBorder="0" applyAlignment="0" applyProtection="0"/>
    <xf numFmtId="43" fontId="8" fillId="0" borderId="0" applyFont="0" applyFill="0" applyBorder="0" applyAlignment="0" applyProtection="0"/>
    <xf numFmtId="0" fontId="17" fillId="0" borderId="0"/>
    <xf numFmtId="0" fontId="40" fillId="0" borderId="0" applyNumberFormat="0" applyFill="0" applyBorder="0" applyAlignment="0" applyProtection="0"/>
  </cellStyleXfs>
  <cellXfs count="428">
    <xf numFmtId="0" fontId="0" fillId="0" borderId="0" xfId="0"/>
    <xf numFmtId="0" fontId="0" fillId="0" borderId="0" xfId="0" applyAlignment="1">
      <alignment vertical="top"/>
    </xf>
    <xf numFmtId="0" fontId="2" fillId="0" borderId="0" xfId="0" applyFont="1"/>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165" fontId="13" fillId="0" borderId="4" xfId="0" applyNumberFormat="1" applyFont="1" applyBorder="1" applyAlignment="1">
      <alignment wrapText="1"/>
    </xf>
    <xf numFmtId="0" fontId="3" fillId="0" borderId="3" xfId="0" applyFont="1" applyBorder="1" applyAlignment="1">
      <alignment horizontal="center" wrapText="1"/>
    </xf>
    <xf numFmtId="0" fontId="3" fillId="0" borderId="2" xfId="0" applyFont="1" applyBorder="1" applyAlignment="1">
      <alignment horizontal="left"/>
    </xf>
    <xf numFmtId="0" fontId="5" fillId="0" borderId="3" xfId="0" applyFont="1" applyBorder="1" applyAlignment="1">
      <alignment horizontal="left"/>
    </xf>
    <xf numFmtId="0" fontId="16" fillId="2" borderId="0" xfId="2" applyFont="1" applyFill="1"/>
    <xf numFmtId="0" fontId="16" fillId="2" borderId="0" xfId="3" applyFont="1" applyFill="1"/>
    <xf numFmtId="0" fontId="18" fillId="0" borderId="0" xfId="4" applyFont="1" applyProtection="1">
      <protection locked="0"/>
    </xf>
    <xf numFmtId="0" fontId="20" fillId="0" borderId="5" xfId="2" applyFont="1" applyBorder="1" applyAlignment="1">
      <alignment wrapText="1"/>
    </xf>
    <xf numFmtId="0" fontId="17" fillId="0" borderId="0" xfId="3"/>
    <xf numFmtId="0" fontId="15" fillId="0" borderId="5" xfId="2" applyBorder="1"/>
    <xf numFmtId="0" fontId="15" fillId="0" borderId="6" xfId="2" applyBorder="1"/>
    <xf numFmtId="0" fontId="15" fillId="0" borderId="9" xfId="2" applyBorder="1"/>
    <xf numFmtId="0" fontId="20" fillId="0" borderId="10" xfId="2" applyFont="1" applyBorder="1" applyAlignment="1">
      <alignment vertical="center" wrapText="1"/>
    </xf>
    <xf numFmtId="0" fontId="17" fillId="0" borderId="0" xfId="2" applyFont="1"/>
    <xf numFmtId="166" fontId="17" fillId="0" borderId="10" xfId="3" applyNumberFormat="1" applyBorder="1"/>
    <xf numFmtId="43" fontId="17" fillId="0" borderId="0" xfId="3" applyNumberFormat="1"/>
    <xf numFmtId="0" fontId="17" fillId="0" borderId="11" xfId="3" applyBorder="1"/>
    <xf numFmtId="0" fontId="22" fillId="0" borderId="10" xfId="4" applyFont="1" applyBorder="1" applyProtection="1">
      <protection locked="0"/>
    </xf>
    <xf numFmtId="0" fontId="22" fillId="0" borderId="0" xfId="4" applyFont="1" applyProtection="1">
      <protection locked="0"/>
    </xf>
    <xf numFmtId="0" fontId="22" fillId="0" borderId="11" xfId="4" applyFont="1" applyBorder="1" applyProtection="1">
      <protection locked="0"/>
    </xf>
    <xf numFmtId="0" fontId="20" fillId="0" borderId="13" xfId="2" applyFont="1" applyBorder="1" applyAlignment="1">
      <alignment vertical="top" wrapText="1"/>
    </xf>
    <xf numFmtId="0" fontId="20" fillId="0" borderId="14" xfId="2" applyFont="1" applyBorder="1" applyAlignment="1">
      <alignment horizontal="center"/>
    </xf>
    <xf numFmtId="0" fontId="20" fillId="0" borderId="15" xfId="2" applyFont="1" applyBorder="1" applyAlignment="1">
      <alignment horizontal="center" wrapText="1"/>
    </xf>
    <xf numFmtId="0" fontId="17" fillId="0" borderId="10" xfId="3" applyBorder="1"/>
    <xf numFmtId="0" fontId="21" fillId="0" borderId="10" xfId="4" applyFont="1" applyBorder="1" applyProtection="1">
      <protection locked="0"/>
    </xf>
    <xf numFmtId="43" fontId="21" fillId="0" borderId="0" xfId="4" applyNumberFormat="1" applyFont="1" applyProtection="1">
      <protection locked="0"/>
    </xf>
    <xf numFmtId="0" fontId="21" fillId="0" borderId="0" xfId="4" applyFont="1" applyProtection="1">
      <protection locked="0"/>
    </xf>
    <xf numFmtId="167" fontId="23" fillId="0" borderId="10" xfId="4" applyNumberFormat="1" applyFont="1" applyBorder="1" applyAlignment="1" applyProtection="1">
      <alignment vertical="center"/>
      <protection locked="0"/>
    </xf>
    <xf numFmtId="166" fontId="23" fillId="0" borderId="0" xfId="4" applyNumberFormat="1" applyFont="1" applyAlignment="1" applyProtection="1">
      <alignment vertical="center"/>
      <protection locked="0"/>
    </xf>
    <xf numFmtId="167" fontId="23" fillId="0" borderId="11" xfId="4" applyNumberFormat="1" applyFont="1" applyBorder="1" applyAlignment="1" applyProtection="1">
      <alignment vertical="center"/>
      <protection locked="0"/>
    </xf>
    <xf numFmtId="43" fontId="20" fillId="0" borderId="7" xfId="5" applyFont="1" applyBorder="1" applyAlignment="1">
      <alignment wrapText="1"/>
    </xf>
    <xf numFmtId="37" fontId="20" fillId="0" borderId="8" xfId="5" quotePrefix="1" applyNumberFormat="1" applyFont="1" applyBorder="1" applyAlignment="1">
      <alignment horizontal="center" wrapText="1"/>
    </xf>
    <xf numFmtId="167" fontId="23" fillId="0" borderId="13" xfId="4" applyNumberFormat="1" applyFont="1" applyBorder="1" applyAlignment="1" applyProtection="1">
      <alignment vertical="center"/>
      <protection locked="0"/>
    </xf>
    <xf numFmtId="167" fontId="23" fillId="0" borderId="19" xfId="4" applyNumberFormat="1" applyFont="1" applyBorder="1" applyAlignment="1" applyProtection="1">
      <alignment vertical="center"/>
      <protection locked="0"/>
    </xf>
    <xf numFmtId="167" fontId="23" fillId="0" borderId="20" xfId="4" applyNumberFormat="1" applyFont="1" applyBorder="1" applyAlignment="1" applyProtection="1">
      <alignment vertical="center"/>
      <protection locked="0"/>
    </xf>
    <xf numFmtId="43" fontId="24" fillId="0" borderId="14" xfId="5" applyFont="1" applyBorder="1" applyAlignment="1">
      <alignment wrapText="1"/>
    </xf>
    <xf numFmtId="43" fontId="20" fillId="0" borderId="15" xfId="5" quotePrefix="1" applyFont="1" applyBorder="1" applyAlignment="1">
      <alignment wrapText="1"/>
    </xf>
    <xf numFmtId="0" fontId="21" fillId="0" borderId="5" xfId="4" applyFont="1" applyBorder="1" applyAlignment="1" applyProtection="1">
      <alignment horizontal="left"/>
      <protection locked="0"/>
    </xf>
    <xf numFmtId="0" fontId="21" fillId="0" borderId="6" xfId="4" applyFont="1" applyBorder="1" applyAlignment="1" applyProtection="1">
      <alignment horizontal="left"/>
      <protection locked="0"/>
    </xf>
    <xf numFmtId="0" fontId="21" fillId="0" borderId="9" xfId="4" applyFont="1" applyBorder="1" applyAlignment="1" applyProtection="1">
      <alignment horizontal="left"/>
      <protection locked="0"/>
    </xf>
    <xf numFmtId="0" fontId="23" fillId="0" borderId="5" xfId="4" applyFont="1" applyBorder="1"/>
    <xf numFmtId="0" fontId="23" fillId="0" borderId="6" xfId="4" applyFont="1" applyBorder="1"/>
    <xf numFmtId="0" fontId="23" fillId="0" borderId="9" xfId="4" applyFont="1" applyBorder="1"/>
    <xf numFmtId="43" fontId="24" fillId="0" borderId="0" xfId="5" applyFont="1" applyAlignment="1">
      <alignment wrapText="1"/>
    </xf>
    <xf numFmtId="43" fontId="24" fillId="0" borderId="11" xfId="5" applyFont="1" applyBorder="1" applyAlignment="1">
      <alignment wrapText="1"/>
    </xf>
    <xf numFmtId="43" fontId="22" fillId="0" borderId="0" xfId="4" applyNumberFormat="1" applyFont="1" applyProtection="1">
      <protection locked="0"/>
    </xf>
    <xf numFmtId="0" fontId="22" fillId="0" borderId="10" xfId="4" applyFont="1" applyBorder="1" applyAlignment="1" applyProtection="1">
      <alignment vertical="top"/>
      <protection locked="0"/>
    </xf>
    <xf numFmtId="43" fontId="22" fillId="0" borderId="0" xfId="4" applyNumberFormat="1" applyFont="1" applyAlignment="1" applyProtection="1">
      <alignment vertical="top"/>
      <protection locked="0"/>
    </xf>
    <xf numFmtId="0" fontId="22" fillId="0" borderId="0" xfId="4" applyFont="1" applyAlignment="1" applyProtection="1">
      <alignment vertical="top"/>
      <protection locked="0"/>
    </xf>
    <xf numFmtId="0" fontId="22" fillId="0" borderId="11" xfId="4" applyFont="1" applyBorder="1" applyAlignment="1" applyProtection="1">
      <alignment vertical="top"/>
      <protection locked="0"/>
    </xf>
    <xf numFmtId="0" fontId="22" fillId="0" borderId="13" xfId="4" applyFont="1" applyBorder="1" applyAlignment="1" applyProtection="1">
      <alignment vertical="top"/>
      <protection locked="0"/>
    </xf>
    <xf numFmtId="0" fontId="22" fillId="0" borderId="19" xfId="4" applyFont="1" applyBorder="1" applyProtection="1">
      <protection locked="0"/>
    </xf>
    <xf numFmtId="0" fontId="22" fillId="0" borderId="20" xfId="4" applyFont="1" applyBorder="1" applyProtection="1">
      <protection locked="0"/>
    </xf>
    <xf numFmtId="0" fontId="22" fillId="0" borderId="5" xfId="4" applyFont="1" applyBorder="1" applyProtection="1">
      <protection locked="0"/>
    </xf>
    <xf numFmtId="0" fontId="22" fillId="0" borderId="6" xfId="4" applyFont="1" applyBorder="1" applyProtection="1">
      <protection locked="0"/>
    </xf>
    <xf numFmtId="0" fontId="21" fillId="0" borderId="9" xfId="4" applyFont="1" applyBorder="1" applyProtection="1">
      <protection locked="0"/>
    </xf>
    <xf numFmtId="0" fontId="21" fillId="0" borderId="6" xfId="4" applyFont="1" applyBorder="1" applyProtection="1">
      <protection locked="0"/>
    </xf>
    <xf numFmtId="0" fontId="27" fillId="0" borderId="0" xfId="3" applyFont="1"/>
    <xf numFmtId="164" fontId="26" fillId="0" borderId="36" xfId="6" applyNumberFormat="1" applyFont="1" applyBorder="1"/>
    <xf numFmtId="164" fontId="17" fillId="0" borderId="23" xfId="3" applyNumberFormat="1" applyBorder="1"/>
    <xf numFmtId="0" fontId="28" fillId="0" borderId="10" xfId="4" applyFont="1" applyBorder="1" applyProtection="1">
      <protection locked="0"/>
    </xf>
    <xf numFmtId="0" fontId="22" fillId="0" borderId="0" xfId="4" applyFont="1"/>
    <xf numFmtId="0" fontId="21" fillId="0" borderId="11" xfId="4" applyFont="1" applyBorder="1" applyAlignment="1" applyProtection="1">
      <alignment horizontal="center"/>
      <protection locked="0"/>
    </xf>
    <xf numFmtId="0" fontId="28" fillId="0" borderId="0" xfId="4" applyFont="1" applyProtection="1">
      <protection locked="0"/>
    </xf>
    <xf numFmtId="0" fontId="21" fillId="0" borderId="0" xfId="4" applyFont="1" applyAlignment="1" applyProtection="1">
      <alignment horizontal="center"/>
      <protection locked="0"/>
    </xf>
    <xf numFmtId="168" fontId="26" fillId="0" borderId="34" xfId="6" applyNumberFormat="1" applyFont="1" applyBorder="1"/>
    <xf numFmtId="168" fontId="17" fillId="0" borderId="30" xfId="3" applyNumberFormat="1" applyBorder="1"/>
    <xf numFmtId="0" fontId="28" fillId="0" borderId="13" xfId="4" applyFont="1" applyBorder="1" applyProtection="1">
      <protection locked="0"/>
    </xf>
    <xf numFmtId="0" fontId="21" fillId="0" borderId="19" xfId="4" applyFont="1" applyBorder="1" applyProtection="1">
      <protection locked="0"/>
    </xf>
    <xf numFmtId="0" fontId="28" fillId="0" borderId="19" xfId="4" applyFont="1" applyBorder="1" applyProtection="1">
      <protection locked="0"/>
    </xf>
    <xf numFmtId="0" fontId="21" fillId="0" borderId="20" xfId="4" applyFont="1" applyBorder="1" applyAlignment="1" applyProtection="1">
      <alignment horizontal="center"/>
      <protection locked="0"/>
    </xf>
    <xf numFmtId="0" fontId="21" fillId="0" borderId="19" xfId="4" applyFont="1" applyBorder="1" applyAlignment="1" applyProtection="1">
      <alignment horizontal="center"/>
      <protection locked="0"/>
    </xf>
    <xf numFmtId="0" fontId="20" fillId="0" borderId="35" xfId="2" quotePrefix="1" applyFont="1" applyBorder="1"/>
    <xf numFmtId="0" fontId="20" fillId="0" borderId="10" xfId="2" applyFont="1" applyBorder="1" applyAlignment="1">
      <alignment horizontal="center"/>
    </xf>
    <xf numFmtId="0" fontId="20" fillId="0" borderId="0" xfId="2" applyFont="1" applyAlignment="1">
      <alignment horizontal="center"/>
    </xf>
    <xf numFmtId="0" fontId="20" fillId="0" borderId="11" xfId="2" applyFont="1" applyBorder="1" applyAlignment="1">
      <alignment horizontal="center"/>
    </xf>
    <xf numFmtId="0" fontId="20" fillId="0" borderId="34" xfId="2" applyFont="1" applyBorder="1" applyAlignment="1">
      <alignment horizontal="center" vertical="center"/>
    </xf>
    <xf numFmtId="43" fontId="20" fillId="0" borderId="35" xfId="5" applyFont="1" applyBorder="1"/>
    <xf numFmtId="43" fontId="20" fillId="0" borderId="11" xfId="5" applyFont="1" applyBorder="1"/>
    <xf numFmtId="0" fontId="22" fillId="0" borderId="10" xfId="4" applyFont="1" applyBorder="1" applyAlignment="1" applyProtection="1">
      <alignment horizontal="left"/>
      <protection locked="0"/>
    </xf>
    <xf numFmtId="0" fontId="22" fillId="0" borderId="0" xfId="4" applyFont="1" applyAlignment="1" applyProtection="1">
      <alignment horizontal="left"/>
      <protection locked="0"/>
    </xf>
    <xf numFmtId="43" fontId="22" fillId="0" borderId="0" xfId="7" applyFont="1" applyBorder="1" applyAlignment="1" applyProtection="1">
      <alignment horizontal="left"/>
      <protection locked="0"/>
    </xf>
    <xf numFmtId="43" fontId="22" fillId="0" borderId="11" xfId="7" applyFont="1" applyBorder="1" applyAlignment="1" applyProtection="1">
      <alignment horizontal="left"/>
      <protection locked="0"/>
    </xf>
    <xf numFmtId="168" fontId="26" fillId="0" borderId="39" xfId="6" applyNumberFormat="1" applyFont="1" applyBorder="1"/>
    <xf numFmtId="0" fontId="17" fillId="0" borderId="13" xfId="3" applyBorder="1"/>
    <xf numFmtId="0" fontId="17" fillId="0" borderId="19" xfId="3" applyBorder="1"/>
    <xf numFmtId="0" fontId="29" fillId="0" borderId="20" xfId="3" applyFont="1" applyBorder="1" applyAlignment="1">
      <alignment horizontal="right"/>
    </xf>
    <xf numFmtId="43" fontId="22" fillId="0" borderId="11" xfId="7" applyFont="1" applyBorder="1" applyProtection="1">
      <protection locked="0"/>
    </xf>
    <xf numFmtId="43" fontId="22" fillId="0" borderId="0" xfId="7" applyFont="1" applyBorder="1" applyAlignment="1" applyProtection="1">
      <protection locked="0"/>
    </xf>
    <xf numFmtId="0" fontId="16" fillId="0" borderId="0" xfId="3" applyFont="1"/>
    <xf numFmtId="0" fontId="20" fillId="0" borderId="31" xfId="2" applyFont="1" applyBorder="1"/>
    <xf numFmtId="0" fontId="20" fillId="0" borderId="32" xfId="2" applyFont="1" applyBorder="1" applyAlignment="1">
      <alignment wrapText="1"/>
    </xf>
    <xf numFmtId="0" fontId="17" fillId="0" borderId="0" xfId="8"/>
    <xf numFmtId="0" fontId="18" fillId="0" borderId="5" xfId="4" applyFont="1" applyBorder="1" applyAlignment="1" applyProtection="1">
      <alignment horizontal="left" indent="4"/>
      <protection locked="0"/>
    </xf>
    <xf numFmtId="0" fontId="22" fillId="0" borderId="9" xfId="4" applyFont="1" applyBorder="1" applyProtection="1">
      <protection locked="0"/>
    </xf>
    <xf numFmtId="0" fontId="24" fillId="0" borderId="0" xfId="2" applyFont="1" applyAlignment="1">
      <alignment vertical="center"/>
    </xf>
    <xf numFmtId="0" fontId="20" fillId="0" borderId="0" xfId="2" applyFont="1"/>
    <xf numFmtId="0" fontId="20" fillId="0" borderId="11" xfId="2" applyFont="1" applyBorder="1"/>
    <xf numFmtId="0" fontId="18" fillId="0" borderId="0" xfId="4" applyFont="1" applyAlignment="1" applyProtection="1">
      <alignment horizontal="left" indent="9"/>
      <protection locked="0"/>
    </xf>
    <xf numFmtId="0" fontId="18" fillId="0" borderId="0" xfId="4" applyFont="1" applyAlignment="1" applyProtection="1">
      <alignment horizontal="left"/>
      <protection locked="0"/>
    </xf>
    <xf numFmtId="0" fontId="22" fillId="0" borderId="11" xfId="4" applyFont="1" applyBorder="1" applyAlignment="1" applyProtection="1">
      <alignment horizontal="left"/>
      <protection locked="0"/>
    </xf>
    <xf numFmtId="0" fontId="24" fillId="0" borderId="10" xfId="2" applyFont="1" applyBorder="1"/>
    <xf numFmtId="0" fontId="24" fillId="0" borderId="0" xfId="2" applyFont="1"/>
    <xf numFmtId="0" fontId="20" fillId="0" borderId="10" xfId="2" applyFont="1" applyBorder="1" applyAlignment="1">
      <alignment wrapText="1"/>
    </xf>
    <xf numFmtId="0" fontId="20" fillId="0" borderId="0" xfId="2" applyFont="1" applyAlignment="1">
      <alignment horizontal="left"/>
    </xf>
    <xf numFmtId="0" fontId="22" fillId="0" borderId="10" xfId="4" applyFont="1" applyBorder="1" applyAlignment="1" applyProtection="1">
      <alignment horizontal="center"/>
      <protection locked="0"/>
    </xf>
    <xf numFmtId="0" fontId="22" fillId="0" borderId="0" xfId="4" applyFont="1" applyAlignment="1" applyProtection="1">
      <alignment horizontal="center"/>
      <protection locked="0"/>
    </xf>
    <xf numFmtId="0" fontId="22" fillId="0" borderId="11" xfId="4" applyFont="1" applyBorder="1" applyAlignment="1" applyProtection="1">
      <alignment horizontal="center"/>
      <protection locked="0"/>
    </xf>
    <xf numFmtId="0" fontId="20" fillId="0" borderId="10" xfId="2" applyFont="1" applyBorder="1"/>
    <xf numFmtId="0" fontId="18" fillId="0" borderId="10" xfId="4" applyFont="1" applyBorder="1" applyAlignment="1" applyProtection="1">
      <alignment horizontal="left" indent="4"/>
      <protection locked="0"/>
    </xf>
    <xf numFmtId="166" fontId="20" fillId="0" borderId="0" xfId="2" applyNumberFormat="1" applyFont="1" applyAlignment="1">
      <alignment horizontal="left"/>
    </xf>
    <xf numFmtId="0" fontId="20" fillId="0" borderId="43" xfId="2" applyFont="1" applyBorder="1"/>
    <xf numFmtId="0" fontId="20" fillId="0" borderId="28" xfId="2" applyFont="1" applyBorder="1"/>
    <xf numFmtId="0" fontId="20" fillId="0" borderId="6" xfId="2" applyFont="1" applyBorder="1"/>
    <xf numFmtId="0" fontId="20" fillId="0" borderId="9" xfId="2" applyFont="1" applyBorder="1"/>
    <xf numFmtId="0" fontId="24" fillId="0" borderId="44" xfId="2" applyFont="1" applyBorder="1"/>
    <xf numFmtId="0" fontId="22" fillId="0" borderId="0" xfId="4" applyFont="1" applyAlignment="1" applyProtection="1">
      <alignment horizontal="center" vertical="top"/>
      <protection locked="0"/>
    </xf>
    <xf numFmtId="0" fontId="22" fillId="0" borderId="11" xfId="4" applyFont="1" applyBorder="1" applyAlignment="1" applyProtection="1">
      <alignment horizontal="center" vertical="top"/>
      <protection locked="0"/>
    </xf>
    <xf numFmtId="0" fontId="22" fillId="0" borderId="13" xfId="4" applyFont="1" applyBorder="1" applyProtection="1">
      <protection locked="0"/>
    </xf>
    <xf numFmtId="0" fontId="18" fillId="0" borderId="19" xfId="4" applyFont="1" applyBorder="1" applyProtection="1">
      <protection locked="0"/>
    </xf>
    <xf numFmtId="0" fontId="20" fillId="0" borderId="34" xfId="2" applyFont="1" applyBorder="1" applyAlignment="1">
      <alignment horizontal="center" vertical="center" wrapText="1"/>
    </xf>
    <xf numFmtId="0" fontId="20" fillId="0" borderId="49" xfId="2" applyFont="1" applyBorder="1" applyAlignment="1">
      <alignment horizontal="center" vertical="center" wrapText="1"/>
    </xf>
    <xf numFmtId="0" fontId="18" fillId="0" borderId="5" xfId="4" applyFont="1" applyBorder="1" applyAlignment="1" applyProtection="1">
      <alignment horizontal="left" vertical="top" indent="1"/>
      <protection locked="0"/>
    </xf>
    <xf numFmtId="0" fontId="18" fillId="0" borderId="6" xfId="4" applyFont="1" applyBorder="1" applyProtection="1">
      <protection locked="0"/>
    </xf>
    <xf numFmtId="0" fontId="20" fillId="0" borderId="44" xfId="2" applyFont="1" applyBorder="1" applyAlignment="1">
      <alignment horizontal="center" vertical="center"/>
    </xf>
    <xf numFmtId="0" fontId="20" fillId="0" borderId="45" xfId="2" applyFont="1" applyBorder="1" applyAlignment="1">
      <alignment horizontal="center" vertical="center"/>
    </xf>
    <xf numFmtId="0" fontId="20" fillId="0" borderId="51" xfId="2" applyFont="1" applyBorder="1" applyAlignment="1">
      <alignment horizontal="center" vertical="center"/>
    </xf>
    <xf numFmtId="0" fontId="20" fillId="0" borderId="51" xfId="2" applyFont="1" applyBorder="1" applyAlignment="1">
      <alignment horizontal="center"/>
    </xf>
    <xf numFmtId="0" fontId="20" fillId="0" borderId="52" xfId="2" applyFont="1" applyBorder="1" applyAlignment="1">
      <alignment horizontal="center" wrapText="1"/>
    </xf>
    <xf numFmtId="170" fontId="34" fillId="0" borderId="41" xfId="2" quotePrefix="1" applyNumberFormat="1" applyFont="1" applyBorder="1"/>
    <xf numFmtId="0" fontId="20" fillId="0" borderId="35" xfId="2" applyFont="1" applyBorder="1"/>
    <xf numFmtId="0" fontId="20" fillId="0" borderId="34" xfId="2" applyFont="1" applyBorder="1"/>
    <xf numFmtId="41" fontId="20" fillId="0" borderId="34" xfId="5" applyNumberFormat="1" applyFont="1" applyBorder="1"/>
    <xf numFmtId="169" fontId="20" fillId="0" borderId="41" xfId="2" quotePrefix="1" applyNumberFormat="1" applyFont="1" applyBorder="1"/>
    <xf numFmtId="41" fontId="20" fillId="0" borderId="41" xfId="5" applyNumberFormat="1" applyFont="1" applyBorder="1"/>
    <xf numFmtId="41" fontId="20" fillId="0" borderId="11" xfId="5" applyNumberFormat="1" applyFont="1" applyBorder="1"/>
    <xf numFmtId="0" fontId="35" fillId="0" borderId="10" xfId="4" applyFont="1" applyBorder="1"/>
    <xf numFmtId="0" fontId="35" fillId="0" borderId="0" xfId="4" applyFont="1"/>
    <xf numFmtId="0" fontId="35" fillId="0" borderId="11" xfId="4" applyFont="1" applyBorder="1"/>
    <xf numFmtId="0" fontId="18" fillId="0" borderId="10" xfId="4" applyFont="1" applyBorder="1" applyProtection="1">
      <protection locked="0"/>
    </xf>
    <xf numFmtId="169" fontId="20" fillId="0" borderId="41" xfId="2" applyNumberFormat="1" applyFont="1" applyBorder="1"/>
    <xf numFmtId="0" fontId="20" fillId="0" borderId="41" xfId="2" applyFont="1" applyBorder="1"/>
    <xf numFmtId="169" fontId="17" fillId="0" borderId="50" xfId="2" applyNumberFormat="1" applyFont="1" applyBorder="1"/>
    <xf numFmtId="0" fontId="17" fillId="0" borderId="31" xfId="2" applyFont="1" applyBorder="1"/>
    <xf numFmtId="0" fontId="17" fillId="0" borderId="19" xfId="2" applyFont="1" applyBorder="1"/>
    <xf numFmtId="0" fontId="17" fillId="0" borderId="20" xfId="2" applyFont="1" applyBorder="1"/>
    <xf numFmtId="0" fontId="17" fillId="0" borderId="50" xfId="2" applyFont="1" applyBorder="1"/>
    <xf numFmtId="0" fontId="17" fillId="0" borderId="33" xfId="2" applyFont="1" applyBorder="1"/>
    <xf numFmtId="0" fontId="0" fillId="0" borderId="0" xfId="0" applyAlignment="1">
      <alignment horizontal="center"/>
    </xf>
    <xf numFmtId="0" fontId="3" fillId="0" borderId="2" xfId="0" applyFont="1" applyBorder="1" applyAlignment="1">
      <alignment horizontal="left" vertical="center"/>
    </xf>
    <xf numFmtId="0" fontId="11" fillId="0" borderId="37" xfId="0" applyFont="1" applyBorder="1" applyAlignment="1">
      <alignment vertical="top"/>
    </xf>
    <xf numFmtId="0" fontId="11" fillId="0" borderId="22" xfId="0" applyFont="1" applyBorder="1" applyAlignment="1">
      <alignment vertical="top"/>
    </xf>
    <xf numFmtId="0" fontId="11" fillId="0" borderId="23" xfId="0" applyFont="1" applyBorder="1" applyAlignment="1">
      <alignment vertical="top"/>
    </xf>
    <xf numFmtId="0" fontId="2" fillId="0" borderId="2" xfId="0" applyFont="1" applyBorder="1" applyAlignment="1">
      <alignment vertical="top"/>
    </xf>
    <xf numFmtId="0" fontId="2" fillId="0" borderId="37" xfId="0" applyFont="1" applyBorder="1" applyAlignment="1">
      <alignment vertical="top"/>
    </xf>
    <xf numFmtId="0" fontId="2" fillId="0" borderId="3" xfId="0" applyFont="1" applyBorder="1" applyAlignment="1">
      <alignment vertical="top"/>
    </xf>
    <xf numFmtId="0" fontId="2" fillId="0" borderId="22" xfId="0" applyFont="1" applyBorder="1" applyAlignment="1">
      <alignment vertical="top"/>
    </xf>
    <xf numFmtId="0" fontId="2" fillId="0" borderId="24" xfId="0" applyFont="1" applyBorder="1" applyAlignment="1">
      <alignment vertical="top" wrapText="1"/>
    </xf>
    <xf numFmtId="0" fontId="11" fillId="0" borderId="24" xfId="0" applyFont="1" applyBorder="1" applyAlignment="1">
      <alignment vertical="top"/>
    </xf>
    <xf numFmtId="0" fontId="11" fillId="0" borderId="14" xfId="0" applyFont="1" applyBorder="1" applyAlignment="1">
      <alignment vertical="top"/>
    </xf>
    <xf numFmtId="43" fontId="24" fillId="0" borderId="14" xfId="5" applyFont="1" applyFill="1" applyBorder="1" applyAlignment="1">
      <alignment wrapText="1"/>
    </xf>
    <xf numFmtId="43" fontId="24" fillId="0" borderId="0" xfId="5" applyFont="1" applyFill="1" applyAlignment="1">
      <alignment wrapText="1"/>
    </xf>
    <xf numFmtId="0" fontId="38" fillId="0" borderId="0" xfId="0" applyFont="1"/>
    <xf numFmtId="0" fontId="38" fillId="0" borderId="0" xfId="0" applyFont="1" applyAlignment="1">
      <alignment horizontal="right"/>
    </xf>
    <xf numFmtId="0" fontId="1" fillId="0" borderId="0" xfId="0" applyFont="1"/>
    <xf numFmtId="0" fontId="0" fillId="0" borderId="1" xfId="0" applyBorder="1" applyAlignment="1">
      <alignment horizontal="center" vertical="center" wrapText="1"/>
    </xf>
    <xf numFmtId="0" fontId="0" fillId="0" borderId="1" xfId="0" applyBorder="1" applyAlignment="1">
      <alignment horizontal="left" vertical="center"/>
    </xf>
    <xf numFmtId="171" fontId="0" fillId="0" borderId="1" xfId="1" applyNumberFormat="1" applyFont="1" applyBorder="1" applyAlignment="1">
      <alignment horizontal="center" vertical="center"/>
    </xf>
    <xf numFmtId="172" fontId="0" fillId="0" borderId="1" xfId="0" applyNumberFormat="1" applyBorder="1" applyAlignment="1">
      <alignment horizontal="center" vertical="center"/>
    </xf>
    <xf numFmtId="0" fontId="0" fillId="0" borderId="0" xfId="0" applyAlignment="1">
      <alignment horizontal="left" vertical="center"/>
    </xf>
    <xf numFmtId="43" fontId="17" fillId="0" borderId="41" xfId="5" applyFont="1" applyBorder="1"/>
    <xf numFmtId="0" fontId="17" fillId="0" borderId="35" xfId="2" applyFont="1" applyBorder="1"/>
    <xf numFmtId="0" fontId="17" fillId="0" borderId="34" xfId="2" applyFont="1" applyBorder="1"/>
    <xf numFmtId="165" fontId="39" fillId="0" borderId="34" xfId="1" applyFont="1" applyBorder="1"/>
    <xf numFmtId="165" fontId="13" fillId="0" borderId="1" xfId="0" applyNumberFormat="1" applyFont="1" applyBorder="1" applyAlignment="1">
      <alignment vertical="top" wrapText="1"/>
    </xf>
    <xf numFmtId="0" fontId="40" fillId="0" borderId="0" xfId="9"/>
    <xf numFmtId="165" fontId="0" fillId="0" borderId="0" xfId="0" applyNumberFormat="1"/>
    <xf numFmtId="18" fontId="12" fillId="0" borderId="1" xfId="0" applyNumberFormat="1" applyFont="1" applyBorder="1" applyAlignment="1">
      <alignment vertical="center" wrapText="1"/>
    </xf>
    <xf numFmtId="18" fontId="12" fillId="0" borderId="1" xfId="0" applyNumberFormat="1" applyFont="1" applyBorder="1" applyAlignment="1">
      <alignment horizontal="right" vertical="center" wrapText="1"/>
    </xf>
    <xf numFmtId="0" fontId="12" fillId="0" borderId="1" xfId="0" applyFont="1" applyBorder="1" applyAlignment="1">
      <alignment vertical="center" wrapText="1"/>
    </xf>
    <xf numFmtId="14" fontId="12" fillId="0" borderId="1" xfId="0" applyNumberFormat="1" applyFont="1" applyBorder="1" applyAlignment="1">
      <alignment horizontal="center" vertical="center" wrapText="1"/>
    </xf>
    <xf numFmtId="165" fontId="12" fillId="0" borderId="1" xfId="1" applyFont="1" applyBorder="1" applyAlignment="1">
      <alignment vertical="center" wrapText="1"/>
    </xf>
    <xf numFmtId="0" fontId="3" fillId="0" borderId="37" xfId="0" applyFont="1" applyBorder="1" applyAlignment="1">
      <alignment horizontal="left" vertical="top" wrapText="1"/>
    </xf>
    <xf numFmtId="0" fontId="3" fillId="0" borderId="22" xfId="0" applyFont="1" applyBorder="1" applyAlignment="1">
      <alignment horizontal="left" vertical="top" wrapText="1"/>
    </xf>
    <xf numFmtId="0" fontId="3" fillId="0" borderId="3" xfId="0" applyFont="1" applyBorder="1" applyAlignment="1">
      <alignment horizontal="left" vertical="top" wrapText="1"/>
    </xf>
    <xf numFmtId="0" fontId="3" fillId="0" borderId="4" xfId="0" applyFont="1" applyBorder="1" applyAlignment="1">
      <alignment horizontal="left" vertical="top" wrapText="1"/>
    </xf>
    <xf numFmtId="0" fontId="5" fillId="0" borderId="22" xfId="0" applyFont="1" applyBorder="1" applyAlignment="1">
      <alignment horizontal="left" vertical="top" wrapText="1"/>
    </xf>
    <xf numFmtId="0" fontId="5" fillId="0" borderId="23" xfId="0" applyFont="1" applyBorder="1" applyAlignment="1">
      <alignment horizontal="left" vertical="top" wrapText="1"/>
    </xf>
    <xf numFmtId="0" fontId="5" fillId="0" borderId="0" xfId="0" applyFont="1" applyAlignment="1">
      <alignment horizontal="left" vertical="top" wrapText="1"/>
    </xf>
    <xf numFmtId="0" fontId="5" fillId="0" borderId="30" xfId="0" applyFont="1" applyBorder="1" applyAlignment="1">
      <alignment horizontal="left" vertical="top" wrapText="1"/>
    </xf>
    <xf numFmtId="0" fontId="11" fillId="0" borderId="37" xfId="0" applyFont="1" applyBorder="1" applyAlignment="1">
      <alignment horizontal="center" vertical="top" wrapText="1"/>
    </xf>
    <xf numFmtId="0" fontId="11" fillId="0" borderId="22" xfId="0" applyFont="1" applyBorder="1" applyAlignment="1">
      <alignment horizontal="center" vertical="top" wrapText="1"/>
    </xf>
    <xf numFmtId="0" fontId="11" fillId="0" borderId="23" xfId="0" applyFont="1" applyBorder="1" applyAlignment="1">
      <alignment horizontal="center" vertical="top" wrapText="1"/>
    </xf>
    <xf numFmtId="0" fontId="11" fillId="4" borderId="14" xfId="0" applyFont="1" applyFill="1" applyBorder="1" applyAlignment="1">
      <alignment horizontal="left" vertical="top"/>
    </xf>
    <xf numFmtId="0" fontId="11" fillId="4" borderId="53" xfId="0" applyFont="1" applyFill="1" applyBorder="1" applyAlignment="1">
      <alignment horizontal="left" vertical="top"/>
    </xf>
    <xf numFmtId="0" fontId="3" fillId="0" borderId="2" xfId="0" applyFont="1" applyBorder="1" applyAlignment="1">
      <alignment horizontal="center" vertical="top" wrapText="1"/>
    </xf>
    <xf numFmtId="0" fontId="3" fillId="0" borderId="3" xfId="0" applyFont="1" applyBorder="1" applyAlignment="1">
      <alignment horizontal="center" vertical="top" wrapText="1"/>
    </xf>
    <xf numFmtId="0" fontId="11" fillId="0" borderId="24" xfId="0" applyFont="1" applyBorder="1" applyAlignment="1">
      <alignment horizontal="center" vertical="top" wrapText="1"/>
    </xf>
    <xf numFmtId="0" fontId="11" fillId="0" borderId="14" xfId="0" applyFont="1" applyBorder="1" applyAlignment="1">
      <alignment horizontal="center" vertical="top" wrapText="1"/>
    </xf>
    <xf numFmtId="0" fontId="11" fillId="0" borderId="53" xfId="0" applyFont="1" applyBorder="1" applyAlignment="1">
      <alignment horizontal="center" vertical="top" wrapText="1"/>
    </xf>
    <xf numFmtId="0" fontId="11" fillId="4" borderId="35" xfId="0" applyFont="1" applyFill="1" applyBorder="1" applyAlignment="1">
      <alignment horizontal="center" vertical="top" wrapText="1"/>
    </xf>
    <xf numFmtId="0" fontId="11" fillId="4" borderId="0" xfId="0" applyFont="1" applyFill="1" applyAlignment="1">
      <alignment horizontal="center" vertical="top" wrapText="1"/>
    </xf>
    <xf numFmtId="0" fontId="11" fillId="4" borderId="30" xfId="0" applyFont="1" applyFill="1" applyBorder="1" applyAlignment="1">
      <alignment horizontal="center" vertical="top" wrapText="1"/>
    </xf>
    <xf numFmtId="0" fontId="11" fillId="0" borderId="37" xfId="0" applyFont="1" applyBorder="1" applyAlignment="1">
      <alignment horizontal="left" vertical="top" wrapText="1"/>
    </xf>
    <xf numFmtId="0" fontId="11" fillId="0" borderId="22" xfId="0" applyFont="1" applyBorder="1" applyAlignment="1">
      <alignment horizontal="left" vertical="top" wrapText="1"/>
    </xf>
    <xf numFmtId="0" fontId="11" fillId="0" borderId="23" xfId="0" applyFont="1" applyBorder="1" applyAlignment="1">
      <alignment horizontal="left" vertical="top" wrapText="1"/>
    </xf>
    <xf numFmtId="0" fontId="11" fillId="0" borderId="35" xfId="0" applyFont="1" applyBorder="1" applyAlignment="1">
      <alignment horizontal="center" vertical="top" wrapText="1"/>
    </xf>
    <xf numFmtId="0" fontId="11" fillId="0" borderId="0" xfId="0" applyFont="1" applyAlignment="1">
      <alignment horizontal="center" vertical="top" wrapText="1"/>
    </xf>
    <xf numFmtId="0" fontId="11" fillId="0" borderId="30" xfId="0" applyFont="1" applyBorder="1" applyAlignment="1">
      <alignment horizontal="center" vertical="top" wrapText="1"/>
    </xf>
    <xf numFmtId="0" fontId="11" fillId="4" borderId="24" xfId="0" applyFont="1" applyFill="1" applyBorder="1" applyAlignment="1">
      <alignment horizontal="center" vertical="top"/>
    </xf>
    <xf numFmtId="0" fontId="11" fillId="4" borderId="14" xfId="0" applyFont="1" applyFill="1" applyBorder="1" applyAlignment="1">
      <alignment horizontal="center" vertical="top"/>
    </xf>
    <xf numFmtId="0" fontId="11" fillId="4" borderId="53" xfId="0" applyFont="1" applyFill="1" applyBorder="1" applyAlignment="1">
      <alignment horizontal="center" vertical="top"/>
    </xf>
    <xf numFmtId="0" fontId="11" fillId="4" borderId="24" xfId="0" applyFont="1" applyFill="1" applyBorder="1" applyAlignment="1">
      <alignment horizontal="center" vertical="top" wrapText="1"/>
    </xf>
    <xf numFmtId="0" fontId="11" fillId="4" borderId="14" xfId="0" applyFont="1" applyFill="1" applyBorder="1" applyAlignment="1">
      <alignment horizontal="center" vertical="top" wrapText="1"/>
    </xf>
    <xf numFmtId="0" fontId="11" fillId="4" borderId="53" xfId="0" applyFont="1" applyFill="1" applyBorder="1" applyAlignment="1">
      <alignment horizontal="center" vertical="top" wrapText="1"/>
    </xf>
    <xf numFmtId="0" fontId="36" fillId="0" borderId="0" xfId="0" applyFont="1" applyAlignment="1">
      <alignment horizontal="center"/>
    </xf>
    <xf numFmtId="0" fontId="0" fillId="0" borderId="0" xfId="0" applyAlignment="1">
      <alignment horizontal="center"/>
    </xf>
    <xf numFmtId="0" fontId="3" fillId="0" borderId="24" xfId="0" applyFont="1" applyBorder="1" applyAlignment="1">
      <alignment horizontal="left" vertical="top" wrapText="1"/>
    </xf>
    <xf numFmtId="0" fontId="3" fillId="0" borderId="14" xfId="0" applyFont="1" applyBorder="1" applyAlignment="1">
      <alignment horizontal="left" vertical="top" wrapText="1"/>
    </xf>
    <xf numFmtId="0" fontId="3" fillId="0" borderId="53" xfId="0" applyFont="1" applyBorder="1" applyAlignment="1">
      <alignment horizontal="left" vertical="top" wrapText="1"/>
    </xf>
    <xf numFmtId="0" fontId="2" fillId="4" borderId="22" xfId="0" applyFont="1" applyFill="1" applyBorder="1" applyAlignment="1">
      <alignment horizontal="center" vertical="top"/>
    </xf>
    <xf numFmtId="0" fontId="2" fillId="4" borderId="22" xfId="0" applyFont="1" applyFill="1" applyBorder="1" applyAlignment="1">
      <alignment horizontal="left" vertical="top" wrapText="1"/>
    </xf>
    <xf numFmtId="0" fontId="2" fillId="0" borderId="0" xfId="0" applyFont="1" applyAlignment="1">
      <alignment horizontal="center"/>
    </xf>
    <xf numFmtId="0" fontId="2" fillId="4" borderId="3" xfId="0" applyFont="1" applyFill="1" applyBorder="1" applyAlignment="1">
      <alignment horizontal="center" vertical="top"/>
    </xf>
    <xf numFmtId="0" fontId="2" fillId="4" borderId="14" xfId="0" applyFont="1" applyFill="1" applyBorder="1" applyAlignment="1">
      <alignment horizontal="center" vertical="top" wrapText="1"/>
    </xf>
    <xf numFmtId="0" fontId="2" fillId="4" borderId="53" xfId="0" applyFont="1" applyFill="1" applyBorder="1" applyAlignment="1">
      <alignment horizontal="center" vertical="top" wrapText="1"/>
    </xf>
    <xf numFmtId="0" fontId="2" fillId="4" borderId="23" xfId="0" applyFont="1" applyFill="1" applyBorder="1" applyAlignment="1">
      <alignment horizontal="center" vertical="top"/>
    </xf>
    <xf numFmtId="0" fontId="2" fillId="4" borderId="4" xfId="0" applyFont="1" applyFill="1" applyBorder="1" applyAlignment="1">
      <alignment horizontal="center" vertical="top"/>
    </xf>
    <xf numFmtId="0" fontId="12" fillId="0" borderId="2" xfId="0" applyFont="1" applyBorder="1" applyAlignment="1">
      <alignment horizontal="center" wrapText="1"/>
    </xf>
    <xf numFmtId="0" fontId="12" fillId="0" borderId="4" xfId="0" applyFont="1" applyBorder="1" applyAlignment="1">
      <alignment horizontal="center" wrapText="1"/>
    </xf>
    <xf numFmtId="0" fontId="9" fillId="0" borderId="1" xfId="0" applyFont="1" applyBorder="1" applyAlignment="1">
      <alignment horizontal="center"/>
    </xf>
    <xf numFmtId="0" fontId="10" fillId="0" borderId="1" xfId="0" applyFont="1" applyBorder="1" applyAlignment="1">
      <alignment horizontal="center" vertical="top"/>
    </xf>
    <xf numFmtId="0" fontId="6" fillId="0" borderId="1" xfId="0" applyFont="1" applyBorder="1" applyAlignment="1">
      <alignment horizontal="center" vertical="center"/>
    </xf>
    <xf numFmtId="0" fontId="1" fillId="0" borderId="2" xfId="0" applyFont="1" applyBorder="1" applyAlignment="1">
      <alignment horizontal="center" vertical="top"/>
    </xf>
    <xf numFmtId="0" fontId="1" fillId="0" borderId="3" xfId="0" applyFont="1" applyBorder="1" applyAlignment="1">
      <alignment horizontal="center" vertical="top"/>
    </xf>
    <xf numFmtId="0" fontId="1" fillId="0" borderId="4" xfId="0" applyFont="1" applyBorder="1" applyAlignment="1">
      <alignment horizontal="center" vertical="top"/>
    </xf>
    <xf numFmtId="0" fontId="7" fillId="0" borderId="36" xfId="0" applyFont="1" applyBorder="1" applyAlignment="1">
      <alignment horizontal="center" vertical="center" wrapText="1"/>
    </xf>
    <xf numFmtId="0" fontId="7" fillId="0" borderId="39" xfId="0" applyFont="1" applyBorder="1" applyAlignment="1">
      <alignment horizontal="center" vertical="center" wrapText="1"/>
    </xf>
    <xf numFmtId="0" fontId="22" fillId="0" borderId="10" xfId="4" applyFont="1" applyBorder="1" applyAlignment="1" applyProtection="1">
      <alignment horizontal="center" vertical="top"/>
      <protection locked="0"/>
    </xf>
    <xf numFmtId="0" fontId="22" fillId="0" borderId="0" xfId="4" applyFont="1" applyAlignment="1" applyProtection="1">
      <alignment horizontal="center" vertical="top"/>
      <protection locked="0"/>
    </xf>
    <xf numFmtId="0" fontId="22" fillId="0" borderId="11" xfId="4" applyFont="1" applyBorder="1" applyAlignment="1" applyProtection="1">
      <alignment horizontal="center" vertical="top"/>
      <protection locked="0"/>
    </xf>
    <xf numFmtId="0" fontId="22" fillId="0" borderId="10" xfId="4" applyFont="1" applyBorder="1" applyAlignment="1" applyProtection="1">
      <alignment horizontal="center"/>
      <protection locked="0"/>
    </xf>
    <xf numFmtId="0" fontId="22" fillId="0" borderId="0" xfId="4" applyFont="1" applyAlignment="1" applyProtection="1">
      <alignment horizontal="center"/>
      <protection locked="0"/>
    </xf>
    <xf numFmtId="0" fontId="22" fillId="0" borderId="11" xfId="4" applyFont="1" applyBorder="1" applyAlignment="1" applyProtection="1">
      <alignment horizontal="center"/>
      <protection locked="0"/>
    </xf>
    <xf numFmtId="0" fontId="20" fillId="0" borderId="34" xfId="2" applyFont="1" applyBorder="1" applyAlignment="1">
      <alignment horizontal="center" vertical="center"/>
    </xf>
    <xf numFmtId="0" fontId="20" fillId="0" borderId="24" xfId="2" applyFont="1" applyBorder="1" applyAlignment="1">
      <alignment horizontal="center"/>
    </xf>
    <xf numFmtId="0" fontId="20" fillId="0" borderId="15" xfId="2" applyFont="1" applyBorder="1" applyAlignment="1">
      <alignment horizontal="center"/>
    </xf>
    <xf numFmtId="0" fontId="18" fillId="0" borderId="0" xfId="4" applyFont="1" applyAlignment="1" applyProtection="1">
      <alignment horizontal="left" vertical="top" wrapText="1"/>
      <protection locked="0"/>
    </xf>
    <xf numFmtId="0" fontId="18" fillId="0" borderId="0" xfId="4" applyFont="1" applyAlignment="1" applyProtection="1">
      <alignment horizontal="left" vertical="top"/>
      <protection locked="0"/>
    </xf>
    <xf numFmtId="0" fontId="18" fillId="0" borderId="11" xfId="4" applyFont="1" applyBorder="1" applyAlignment="1" applyProtection="1">
      <alignment horizontal="left" vertical="top"/>
      <protection locked="0"/>
    </xf>
    <xf numFmtId="0" fontId="33" fillId="0" borderId="10" xfId="4" applyFont="1" applyBorder="1" applyAlignment="1" applyProtection="1">
      <alignment horizontal="center"/>
      <protection locked="0"/>
    </xf>
    <xf numFmtId="0" fontId="33" fillId="0" borderId="0" xfId="4" applyFont="1" applyAlignment="1" applyProtection="1">
      <alignment horizontal="center"/>
      <protection locked="0"/>
    </xf>
    <xf numFmtId="0" fontId="33" fillId="0" borderId="11" xfId="4" applyFont="1" applyBorder="1" applyAlignment="1" applyProtection="1">
      <alignment horizontal="center"/>
      <protection locked="0"/>
    </xf>
    <xf numFmtId="0" fontId="18" fillId="0" borderId="0" xfId="4" applyFont="1" applyAlignment="1" applyProtection="1">
      <alignment horizontal="left"/>
      <protection locked="0"/>
    </xf>
    <xf numFmtId="0" fontId="18" fillId="0" borderId="11" xfId="4" applyFont="1" applyBorder="1" applyAlignment="1" applyProtection="1">
      <alignment horizontal="left"/>
      <protection locked="0"/>
    </xf>
    <xf numFmtId="169" fontId="34" fillId="0" borderId="28" xfId="2" quotePrefix="1" applyNumberFormat="1" applyFont="1" applyBorder="1" applyAlignment="1">
      <alignment horizontal="left" vertical="top" wrapText="1"/>
    </xf>
    <xf numFmtId="169" fontId="34" fillId="0" borderId="6" xfId="2" quotePrefix="1" applyNumberFormat="1" applyFont="1" applyBorder="1" applyAlignment="1">
      <alignment horizontal="left" vertical="top" wrapText="1"/>
    </xf>
    <xf numFmtId="169" fontId="34" fillId="0" borderId="27" xfId="2" quotePrefix="1" applyNumberFormat="1" applyFont="1" applyBorder="1" applyAlignment="1">
      <alignment horizontal="left" vertical="top" wrapText="1"/>
    </xf>
    <xf numFmtId="169" fontId="34" fillId="0" borderId="35" xfId="2" quotePrefix="1" applyNumberFormat="1" applyFont="1" applyBorder="1" applyAlignment="1">
      <alignment horizontal="left" vertical="top" wrapText="1"/>
    </xf>
    <xf numFmtId="169" fontId="34" fillId="0" borderId="0" xfId="2" quotePrefix="1" applyNumberFormat="1" applyFont="1" applyAlignment="1">
      <alignment horizontal="left" vertical="top" wrapText="1"/>
    </xf>
    <xf numFmtId="169" fontId="34" fillId="0" borderId="30" xfId="2" quotePrefix="1" applyNumberFormat="1" applyFont="1" applyBorder="1" applyAlignment="1">
      <alignment horizontal="left" vertical="top" wrapText="1"/>
    </xf>
    <xf numFmtId="169" fontId="34" fillId="0" borderId="31" xfId="2" quotePrefix="1" applyNumberFormat="1" applyFont="1" applyBorder="1" applyAlignment="1">
      <alignment horizontal="left" vertical="top" wrapText="1"/>
    </xf>
    <xf numFmtId="169" fontId="34" fillId="0" borderId="19" xfId="2" quotePrefix="1" applyNumberFormat="1" applyFont="1" applyBorder="1" applyAlignment="1">
      <alignment horizontal="left" vertical="top" wrapText="1"/>
    </xf>
    <xf numFmtId="169" fontId="34" fillId="0" borderId="32" xfId="2" quotePrefix="1" applyNumberFormat="1" applyFont="1" applyBorder="1" applyAlignment="1">
      <alignment horizontal="left" vertical="top" wrapText="1"/>
    </xf>
    <xf numFmtId="0" fontId="20" fillId="0" borderId="28" xfId="2" quotePrefix="1" applyFont="1" applyBorder="1" applyAlignment="1">
      <alignment horizontal="center"/>
    </xf>
    <xf numFmtId="0" fontId="20" fillId="0" borderId="6" xfId="2" quotePrefix="1" applyFont="1" applyBorder="1" applyAlignment="1">
      <alignment horizontal="center"/>
    </xf>
    <xf numFmtId="0" fontId="20" fillId="0" borderId="9" xfId="2" quotePrefix="1" applyFont="1" applyBorder="1" applyAlignment="1">
      <alignment horizontal="center"/>
    </xf>
    <xf numFmtId="43" fontId="33" fillId="0" borderId="10" xfId="4" applyNumberFormat="1" applyFont="1" applyBorder="1" applyAlignment="1" applyProtection="1">
      <alignment horizontal="center" vertical="top"/>
      <protection locked="0"/>
    </xf>
    <xf numFmtId="0" fontId="33" fillId="0" borderId="0" xfId="4" applyFont="1" applyAlignment="1" applyProtection="1">
      <alignment horizontal="center" vertical="top"/>
      <protection locked="0"/>
    </xf>
    <xf numFmtId="0" fontId="33" fillId="0" borderId="11" xfId="4" applyFont="1" applyBorder="1" applyAlignment="1" applyProtection="1">
      <alignment horizontal="center" vertical="top"/>
      <protection locked="0"/>
    </xf>
    <xf numFmtId="0" fontId="24" fillId="0" borderId="45" xfId="2" applyFont="1" applyBorder="1" applyAlignment="1">
      <alignment horizontal="center"/>
    </xf>
    <xf numFmtId="0" fontId="24" fillId="0" borderId="46" xfId="2" applyFont="1" applyBorder="1" applyAlignment="1">
      <alignment horizontal="center"/>
    </xf>
    <xf numFmtId="0" fontId="24" fillId="0" borderId="47" xfId="2" applyFont="1" applyBorder="1" applyAlignment="1">
      <alignment horizontal="center"/>
    </xf>
    <xf numFmtId="0" fontId="24" fillId="0" borderId="48" xfId="2" applyFont="1" applyBorder="1" applyAlignment="1">
      <alignment horizontal="center"/>
    </xf>
    <xf numFmtId="0" fontId="20" fillId="0" borderId="41" xfId="2" applyFont="1" applyBorder="1" applyAlignment="1">
      <alignment horizontal="center" vertical="center"/>
    </xf>
    <xf numFmtId="0" fontId="20" fillId="0" borderId="50" xfId="2" applyFont="1" applyBorder="1" applyAlignment="1">
      <alignment horizontal="center" vertical="center"/>
    </xf>
    <xf numFmtId="169" fontId="20" fillId="0" borderId="35" xfId="2" applyNumberFormat="1" applyFont="1" applyBorder="1" applyAlignment="1">
      <alignment horizontal="center" vertical="center"/>
    </xf>
    <xf numFmtId="169" fontId="20" fillId="0" borderId="0" xfId="2" applyNumberFormat="1" applyFont="1" applyAlignment="1">
      <alignment horizontal="center" vertical="center"/>
    </xf>
    <xf numFmtId="169" fontId="20" fillId="0" borderId="31" xfId="2" applyNumberFormat="1" applyFont="1" applyBorder="1" applyAlignment="1">
      <alignment horizontal="center" vertical="center"/>
    </xf>
    <xf numFmtId="169" fontId="20" fillId="0" borderId="19" xfId="2" applyNumberFormat="1" applyFont="1" applyBorder="1" applyAlignment="1">
      <alignment horizontal="center" vertical="center"/>
    </xf>
    <xf numFmtId="0" fontId="17" fillId="0" borderId="35" xfId="2" applyFont="1" applyBorder="1" applyAlignment="1">
      <alignment horizontal="center" vertical="center" wrapText="1"/>
    </xf>
    <xf numFmtId="0" fontId="17" fillId="0" borderId="0" xfId="2" applyFont="1" applyAlignment="1">
      <alignment horizontal="center" vertical="center" wrapText="1"/>
    </xf>
    <xf numFmtId="0" fontId="17" fillId="0" borderId="11" xfId="2" applyFont="1" applyBorder="1" applyAlignment="1">
      <alignment horizontal="center" vertical="center" wrapText="1"/>
    </xf>
    <xf numFmtId="0" fontId="17" fillId="0" borderId="31" xfId="2" applyFont="1" applyBorder="1" applyAlignment="1">
      <alignment horizontal="center" vertical="center" wrapText="1"/>
    </xf>
    <xf numFmtId="0" fontId="17" fillId="0" borderId="19" xfId="2" applyFont="1" applyBorder="1" applyAlignment="1">
      <alignment horizontal="center" vertical="center" wrapText="1"/>
    </xf>
    <xf numFmtId="0" fontId="17" fillId="0" borderId="20" xfId="2" applyFont="1" applyBorder="1" applyAlignment="1">
      <alignment horizontal="center" vertical="center" wrapText="1"/>
    </xf>
    <xf numFmtId="0" fontId="20" fillId="0" borderId="35" xfId="2" applyFont="1" applyBorder="1" applyAlignment="1">
      <alignment horizontal="center" vertical="center"/>
    </xf>
    <xf numFmtId="0" fontId="20" fillId="0" borderId="10" xfId="2" applyFont="1" applyBorder="1" applyAlignment="1">
      <alignment horizontal="left" vertical="center" wrapText="1"/>
    </xf>
    <xf numFmtId="0" fontId="20" fillId="0" borderId="0" xfId="2" applyFont="1" applyAlignment="1">
      <alignment horizontal="left" vertical="center" wrapText="1"/>
    </xf>
    <xf numFmtId="166" fontId="20" fillId="0" borderId="0" xfId="2" applyNumberFormat="1" applyFont="1" applyAlignment="1">
      <alignment horizontal="left" wrapText="1"/>
    </xf>
    <xf numFmtId="0" fontId="20" fillId="0" borderId="0" xfId="2" applyFont="1" applyAlignment="1">
      <alignment horizontal="left" wrapText="1"/>
    </xf>
    <xf numFmtId="0" fontId="20" fillId="0" borderId="11" xfId="2" applyFont="1" applyBorder="1" applyAlignment="1">
      <alignment horizontal="left" wrapText="1"/>
    </xf>
    <xf numFmtId="0" fontId="20" fillId="0" borderId="0" xfId="2" applyFont="1" applyAlignment="1">
      <alignment horizontal="left"/>
    </xf>
    <xf numFmtId="0" fontId="20" fillId="0" borderId="11" xfId="2" applyFont="1" applyBorder="1" applyAlignment="1">
      <alignment horizontal="left"/>
    </xf>
    <xf numFmtId="0" fontId="32" fillId="0" borderId="0" xfId="2" applyFont="1" applyAlignment="1">
      <alignment horizontal="left"/>
    </xf>
    <xf numFmtId="0" fontId="32" fillId="0" borderId="11" xfId="2" applyFont="1" applyBorder="1" applyAlignment="1">
      <alignment horizontal="left"/>
    </xf>
    <xf numFmtId="0" fontId="20" fillId="0" borderId="10" xfId="2" applyFont="1" applyBorder="1" applyAlignment="1">
      <alignment horizontal="center" vertical="center" wrapText="1"/>
    </xf>
    <xf numFmtId="0" fontId="20" fillId="0" borderId="0" xfId="2" applyFont="1" applyAlignment="1">
      <alignment horizontal="center" vertical="center" wrapText="1"/>
    </xf>
    <xf numFmtId="0" fontId="24" fillId="0" borderId="41" xfId="2" applyFont="1" applyBorder="1" applyAlignment="1">
      <alignment vertical="center" wrapText="1"/>
    </xf>
    <xf numFmtId="0" fontId="20" fillId="0" borderId="42" xfId="2" applyFont="1" applyBorder="1" applyAlignment="1">
      <alignment vertical="center" wrapText="1"/>
    </xf>
    <xf numFmtId="0" fontId="20" fillId="0" borderId="0" xfId="2" quotePrefix="1" applyFont="1" applyAlignment="1">
      <alignment horizontal="left" wrapText="1"/>
    </xf>
    <xf numFmtId="0" fontId="24" fillId="0" borderId="0" xfId="2" applyFont="1" applyAlignment="1">
      <alignment horizontal="left" wrapText="1"/>
    </xf>
    <xf numFmtId="0" fontId="24" fillId="0" borderId="11" xfId="2" applyFont="1" applyBorder="1" applyAlignment="1">
      <alignment horizontal="left" wrapText="1"/>
    </xf>
    <xf numFmtId="0" fontId="24" fillId="0" borderId="5" xfId="2" applyFont="1" applyBorder="1" applyAlignment="1">
      <alignment horizontal="left" vertical="center" wrapText="1"/>
    </xf>
    <xf numFmtId="0" fontId="24" fillId="0" borderId="10" xfId="2" applyFont="1" applyBorder="1" applyAlignment="1">
      <alignment horizontal="left" vertical="center" wrapText="1"/>
    </xf>
    <xf numFmtId="0" fontId="24" fillId="0" borderId="35" xfId="2" applyFont="1" applyBorder="1" applyAlignment="1">
      <alignment horizontal="center"/>
    </xf>
    <xf numFmtId="0" fontId="24" fillId="0" borderId="0" xfId="2" applyFont="1" applyAlignment="1">
      <alignment horizontal="center"/>
    </xf>
    <xf numFmtId="0" fontId="22" fillId="0" borderId="13" xfId="4" applyFont="1" applyBorder="1" applyAlignment="1" applyProtection="1">
      <alignment horizontal="center"/>
      <protection locked="0"/>
    </xf>
    <xf numFmtId="0" fontId="22" fillId="0" borderId="32" xfId="4" applyFont="1" applyBorder="1" applyAlignment="1" applyProtection="1">
      <alignment horizontal="center"/>
      <protection locked="0"/>
    </xf>
    <xf numFmtId="0" fontId="22" fillId="0" borderId="31" xfId="4" applyFont="1" applyBorder="1" applyAlignment="1" applyProtection="1">
      <alignment horizontal="center"/>
      <protection locked="0"/>
    </xf>
    <xf numFmtId="0" fontId="22" fillId="0" borderId="20" xfId="4" applyFont="1" applyBorder="1" applyAlignment="1" applyProtection="1">
      <alignment horizontal="center"/>
      <protection locked="0"/>
    </xf>
    <xf numFmtId="0" fontId="20" fillId="0" borderId="13" xfId="2" applyFont="1" applyBorder="1" applyAlignment="1">
      <alignment horizontal="center"/>
    </xf>
    <xf numFmtId="0" fontId="20" fillId="0" borderId="19" xfId="2" applyFont="1" applyBorder="1" applyAlignment="1">
      <alignment horizontal="center"/>
    </xf>
    <xf numFmtId="0" fontId="20" fillId="0" borderId="20" xfId="2" applyFont="1" applyBorder="1" applyAlignment="1">
      <alignment horizontal="center"/>
    </xf>
    <xf numFmtId="43" fontId="24" fillId="0" borderId="25" xfId="5" applyFont="1" applyBorder="1"/>
    <xf numFmtId="43" fontId="26" fillId="0" borderId="40" xfId="5" applyFont="1" applyBorder="1"/>
    <xf numFmtId="43" fontId="22" fillId="0" borderId="14" xfId="7" applyFont="1" applyBorder="1" applyAlignment="1" applyProtection="1">
      <alignment horizontal="center"/>
      <protection locked="0"/>
    </xf>
    <xf numFmtId="43" fontId="22" fillId="0" borderId="15" xfId="7" applyFont="1" applyBorder="1" applyAlignment="1" applyProtection="1">
      <alignment horizontal="center"/>
      <protection locked="0"/>
    </xf>
    <xf numFmtId="0" fontId="20" fillId="0" borderId="10" xfId="2" applyFont="1" applyBorder="1" applyAlignment="1">
      <alignment horizontal="center"/>
    </xf>
    <xf numFmtId="0" fontId="20" fillId="0" borderId="0" xfId="2" applyFont="1" applyAlignment="1">
      <alignment horizontal="center"/>
    </xf>
    <xf numFmtId="0" fontId="20" fillId="0" borderId="11" xfId="2" applyFont="1" applyBorder="1" applyAlignment="1">
      <alignment horizontal="center"/>
    </xf>
    <xf numFmtId="43" fontId="20" fillId="0" borderId="35" xfId="5" applyFont="1" applyBorder="1"/>
    <xf numFmtId="43" fontId="20" fillId="0" borderId="11" xfId="5" applyFont="1" applyBorder="1"/>
    <xf numFmtId="0" fontId="22" fillId="0" borderId="35" xfId="4" applyFont="1" applyBorder="1" applyAlignment="1" applyProtection="1">
      <alignment horizontal="center"/>
      <protection locked="0"/>
    </xf>
    <xf numFmtId="0" fontId="30" fillId="0" borderId="10" xfId="4" applyFont="1" applyBorder="1" applyAlignment="1" applyProtection="1">
      <alignment horizontal="center" wrapText="1"/>
      <protection locked="0"/>
    </xf>
    <xf numFmtId="0" fontId="30" fillId="0" borderId="0" xfId="4" applyFont="1" applyAlignment="1" applyProtection="1">
      <alignment horizontal="center" wrapText="1"/>
      <protection locked="0"/>
    </xf>
    <xf numFmtId="2" fontId="31" fillId="0" borderId="14" xfId="7" applyNumberFormat="1" applyFont="1" applyBorder="1" applyAlignment="1" applyProtection="1">
      <alignment horizontal="right"/>
      <protection locked="0"/>
    </xf>
    <xf numFmtId="2" fontId="31" fillId="0" borderId="15" xfId="7" applyNumberFormat="1" applyFont="1" applyBorder="1" applyAlignment="1" applyProtection="1">
      <alignment horizontal="right"/>
      <protection locked="0"/>
    </xf>
    <xf numFmtId="0" fontId="22" fillId="0" borderId="10" xfId="4" applyFont="1" applyBorder="1" applyAlignment="1" applyProtection="1">
      <alignment horizontal="left"/>
      <protection locked="0"/>
    </xf>
    <xf numFmtId="0" fontId="22" fillId="0" borderId="0" xfId="4" applyFont="1" applyAlignment="1" applyProtection="1">
      <alignment horizontal="left"/>
      <protection locked="0"/>
    </xf>
    <xf numFmtId="0" fontId="22" fillId="0" borderId="10" xfId="4" applyFont="1" applyBorder="1" applyAlignment="1" applyProtection="1">
      <alignment horizontal="left" indent="1"/>
      <protection locked="0"/>
    </xf>
    <xf numFmtId="0" fontId="22" fillId="0" borderId="0" xfId="4" applyFont="1" applyAlignment="1" applyProtection="1">
      <alignment horizontal="left" indent="1"/>
      <protection locked="0"/>
    </xf>
    <xf numFmtId="0" fontId="22" fillId="0" borderId="16" xfId="4" applyFont="1" applyBorder="1" applyAlignment="1" applyProtection="1">
      <alignment horizontal="center"/>
      <protection locked="0"/>
    </xf>
    <xf numFmtId="0" fontId="22" fillId="0" borderId="17" xfId="4" applyFont="1" applyBorder="1" applyAlignment="1" applyProtection="1">
      <alignment horizontal="center"/>
      <protection locked="0"/>
    </xf>
    <xf numFmtId="0" fontId="22" fillId="0" borderId="7" xfId="4" applyFont="1" applyBorder="1" applyAlignment="1" applyProtection="1">
      <alignment horizontal="center"/>
      <protection locked="0"/>
    </xf>
    <xf numFmtId="0" fontId="22" fillId="0" borderId="8" xfId="4" applyFont="1" applyBorder="1" applyAlignment="1" applyProtection="1">
      <alignment horizontal="center"/>
      <protection locked="0"/>
    </xf>
    <xf numFmtId="0" fontId="22" fillId="0" borderId="6" xfId="4" applyFont="1" applyBorder="1" applyAlignment="1" applyProtection="1">
      <alignment horizontal="left"/>
      <protection locked="0"/>
    </xf>
    <xf numFmtId="0" fontId="22" fillId="0" borderId="9" xfId="4" applyFont="1" applyBorder="1" applyAlignment="1" applyProtection="1">
      <alignment horizontal="left"/>
      <protection locked="0"/>
    </xf>
    <xf numFmtId="0" fontId="22" fillId="0" borderId="21" xfId="4" applyFont="1" applyBorder="1" applyAlignment="1" applyProtection="1">
      <alignment horizontal="left" vertical="top" wrapText="1"/>
      <protection locked="0"/>
    </xf>
    <xf numFmtId="0" fontId="22" fillId="0" borderId="23" xfId="4" applyFont="1" applyBorder="1" applyAlignment="1" applyProtection="1">
      <alignment horizontal="left" vertical="top" wrapText="1"/>
      <protection locked="0"/>
    </xf>
    <xf numFmtId="0" fontId="22" fillId="0" borderId="10" xfId="4" applyFont="1" applyBorder="1" applyAlignment="1" applyProtection="1">
      <alignment horizontal="left" vertical="top" wrapText="1"/>
      <protection locked="0"/>
    </xf>
    <xf numFmtId="0" fontId="22" fillId="0" borderId="30" xfId="4" applyFont="1" applyBorder="1" applyAlignment="1" applyProtection="1">
      <alignment horizontal="left" vertical="top" wrapText="1"/>
      <protection locked="0"/>
    </xf>
    <xf numFmtId="43" fontId="22" fillId="0" borderId="37" xfId="4" applyNumberFormat="1" applyFont="1" applyBorder="1" applyAlignment="1" applyProtection="1">
      <alignment horizontal="center"/>
      <protection locked="0"/>
    </xf>
    <xf numFmtId="0" fontId="22" fillId="0" borderId="38" xfId="4" applyFont="1" applyBorder="1" applyAlignment="1" applyProtection="1">
      <alignment horizontal="center"/>
      <protection locked="0"/>
    </xf>
    <xf numFmtId="43" fontId="22" fillId="0" borderId="14" xfId="7" applyFont="1" applyBorder="1" applyAlignment="1" applyProtection="1">
      <alignment horizontal="left"/>
      <protection locked="0"/>
    </xf>
    <xf numFmtId="43" fontId="22" fillId="0" borderId="15" xfId="7" applyFont="1" applyBorder="1" applyAlignment="1" applyProtection="1">
      <alignment horizontal="left"/>
      <protection locked="0"/>
    </xf>
    <xf numFmtId="43" fontId="22" fillId="0" borderId="35" xfId="7" applyFont="1" applyBorder="1" applyAlignment="1" applyProtection="1">
      <alignment horizontal="center"/>
      <protection locked="0"/>
    </xf>
    <xf numFmtId="43" fontId="22" fillId="0" borderId="11" xfId="7" applyFont="1" applyBorder="1" applyAlignment="1" applyProtection="1">
      <alignment horizontal="center"/>
      <protection locked="0"/>
    </xf>
    <xf numFmtId="0" fontId="20" fillId="3" borderId="5" xfId="3" applyFont="1" applyFill="1" applyBorder="1" applyAlignment="1" applyProtection="1">
      <alignment horizontal="center" vertical="top"/>
      <protection locked="0"/>
    </xf>
    <xf numFmtId="0" fontId="20" fillId="3" borderId="6" xfId="3" applyFont="1" applyFill="1" applyBorder="1" applyAlignment="1" applyProtection="1">
      <alignment horizontal="center" vertical="top"/>
      <protection locked="0"/>
    </xf>
    <xf numFmtId="0" fontId="20" fillId="3" borderId="9" xfId="3" applyFont="1" applyFill="1" applyBorder="1" applyAlignment="1" applyProtection="1">
      <alignment horizontal="center" vertical="top"/>
      <protection locked="0"/>
    </xf>
    <xf numFmtId="0" fontId="20" fillId="0" borderId="6" xfId="2" applyFont="1" applyBorder="1" applyAlignment="1">
      <alignment horizontal="left" vertical="top" wrapText="1"/>
    </xf>
    <xf numFmtId="0" fontId="20" fillId="0" borderId="27" xfId="2" applyFont="1" applyBorder="1" applyAlignment="1">
      <alignment horizontal="left" vertical="top" wrapText="1"/>
    </xf>
    <xf numFmtId="0" fontId="20" fillId="0" borderId="0" xfId="2" applyFont="1" applyAlignment="1">
      <alignment horizontal="left" vertical="top" wrapText="1"/>
    </xf>
    <xf numFmtId="0" fontId="20" fillId="0" borderId="30" xfId="2" applyFont="1" applyBorder="1" applyAlignment="1">
      <alignment horizontal="left" vertical="top" wrapText="1"/>
    </xf>
    <xf numFmtId="0" fontId="20" fillId="3" borderId="29" xfId="2" quotePrefix="1" applyFont="1" applyFill="1" applyBorder="1" applyAlignment="1">
      <alignment horizontal="center" vertical="top" wrapText="1"/>
    </xf>
    <xf numFmtId="0" fontId="20" fillId="3" borderId="34" xfId="2" quotePrefix="1" applyFont="1" applyFill="1" applyBorder="1" applyAlignment="1">
      <alignment horizontal="center" vertical="top" wrapText="1"/>
    </xf>
    <xf numFmtId="0" fontId="20" fillId="3" borderId="29" xfId="2" applyFont="1" applyFill="1" applyBorder="1" applyAlignment="1">
      <alignment horizontal="center" vertical="top" wrapText="1"/>
    </xf>
    <xf numFmtId="0" fontId="20" fillId="3" borderId="34" xfId="2" applyFont="1" applyFill="1" applyBorder="1" applyAlignment="1">
      <alignment horizontal="center" vertical="top" wrapText="1"/>
    </xf>
    <xf numFmtId="43" fontId="26" fillId="0" borderId="28" xfId="5" applyFont="1" applyBorder="1"/>
    <xf numFmtId="0" fontId="26" fillId="0" borderId="9" xfId="2" applyFont="1" applyBorder="1"/>
    <xf numFmtId="0" fontId="20" fillId="0" borderId="19" xfId="2" applyFont="1" applyBorder="1" applyAlignment="1">
      <alignment horizontal="left" vertical="top" wrapText="1"/>
    </xf>
    <xf numFmtId="0" fontId="20" fillId="0" borderId="32" xfId="2" applyFont="1" applyBorder="1" applyAlignment="1">
      <alignment horizontal="left" vertical="top" wrapText="1"/>
    </xf>
    <xf numFmtId="0" fontId="18" fillId="0" borderId="0" xfId="4" applyFont="1" applyAlignment="1" applyProtection="1">
      <alignment horizontal="right"/>
      <protection locked="0"/>
    </xf>
    <xf numFmtId="0" fontId="19" fillId="0" borderId="5" xfId="2" applyFont="1" applyBorder="1" applyAlignment="1">
      <alignment horizontal="center" vertical="center" wrapText="1"/>
    </xf>
    <xf numFmtId="0" fontId="19" fillId="0" borderId="6" xfId="2" applyFont="1" applyBorder="1" applyAlignment="1">
      <alignment horizontal="center" vertical="center" wrapText="1"/>
    </xf>
    <xf numFmtId="0" fontId="20" fillId="0" borderId="7" xfId="2" applyFont="1" applyBorder="1" applyAlignment="1">
      <alignment horizontal="center"/>
    </xf>
    <xf numFmtId="0" fontId="20" fillId="0" borderId="8" xfId="2" applyFont="1" applyBorder="1" applyAlignment="1">
      <alignment horizontal="center"/>
    </xf>
    <xf numFmtId="0" fontId="21" fillId="0" borderId="5" xfId="4" applyFont="1" applyBorder="1" applyAlignment="1" applyProtection="1">
      <alignment horizontal="center" vertical="center"/>
      <protection locked="0"/>
    </xf>
    <xf numFmtId="0" fontId="21" fillId="0" borderId="6" xfId="4" applyFont="1" applyBorder="1" applyAlignment="1" applyProtection="1">
      <alignment horizontal="center" vertical="center"/>
      <protection locked="0"/>
    </xf>
    <xf numFmtId="0" fontId="21" fillId="0" borderId="10" xfId="4" applyFont="1" applyBorder="1" applyAlignment="1" applyProtection="1">
      <alignment horizontal="center" vertical="center"/>
      <protection locked="0"/>
    </xf>
    <xf numFmtId="0" fontId="21" fillId="0" borderId="0" xfId="4" applyFont="1" applyAlignment="1" applyProtection="1">
      <alignment horizontal="center" vertical="center"/>
      <protection locked="0"/>
    </xf>
    <xf numFmtId="0" fontId="21" fillId="0" borderId="5" xfId="4" applyFont="1" applyBorder="1" applyAlignment="1" applyProtection="1">
      <alignment horizontal="left"/>
      <protection locked="0"/>
    </xf>
    <xf numFmtId="0" fontId="21" fillId="0" borderId="6" xfId="4" applyFont="1" applyBorder="1" applyAlignment="1" applyProtection="1">
      <alignment horizontal="left"/>
      <protection locked="0"/>
    </xf>
    <xf numFmtId="0" fontId="21" fillId="0" borderId="9" xfId="4" applyFont="1" applyBorder="1" applyAlignment="1" applyProtection="1">
      <alignment horizontal="left"/>
      <protection locked="0"/>
    </xf>
    <xf numFmtId="0" fontId="20" fillId="0" borderId="10" xfId="2" applyFont="1" applyBorder="1" applyAlignment="1">
      <alignment horizontal="center" vertical="top" wrapText="1"/>
    </xf>
    <xf numFmtId="0" fontId="20" fillId="0" borderId="0" xfId="2" applyFont="1" applyAlignment="1">
      <alignment horizontal="center" vertical="top" wrapText="1"/>
    </xf>
    <xf numFmtId="0" fontId="20" fillId="0" borderId="11" xfId="2" applyFont="1" applyBorder="1" applyAlignment="1">
      <alignment horizontal="center" vertical="top" wrapText="1"/>
    </xf>
    <xf numFmtId="166" fontId="20" fillId="0" borderId="3" xfId="2" quotePrefix="1" applyNumberFormat="1" applyFont="1" applyBorder="1" applyAlignment="1">
      <alignment horizontal="center"/>
    </xf>
    <xf numFmtId="166" fontId="20" fillId="0" borderId="12" xfId="2" quotePrefix="1" applyNumberFormat="1" applyFont="1" applyBorder="1" applyAlignment="1">
      <alignment horizontal="center"/>
    </xf>
    <xf numFmtId="0" fontId="20" fillId="0" borderId="5" xfId="2" applyFont="1" applyBorder="1" applyAlignment="1">
      <alignment horizontal="center" vertical="center" wrapText="1"/>
    </xf>
    <xf numFmtId="0" fontId="20" fillId="0" borderId="6" xfId="2" applyFont="1" applyBorder="1" applyAlignment="1">
      <alignment horizontal="center" vertical="center" wrapText="1"/>
    </xf>
    <xf numFmtId="0" fontId="20" fillId="0" borderId="27" xfId="2" applyFont="1" applyBorder="1" applyAlignment="1">
      <alignment horizontal="center" vertical="center" wrapText="1"/>
    </xf>
    <xf numFmtId="0" fontId="20" fillId="0" borderId="30" xfId="2" applyFont="1" applyBorder="1" applyAlignment="1">
      <alignment horizontal="center" vertical="center" wrapText="1"/>
    </xf>
    <xf numFmtId="0" fontId="20" fillId="0" borderId="28" xfId="2" applyFont="1" applyBorder="1" applyAlignment="1">
      <alignment horizontal="center" vertical="center" wrapText="1"/>
    </xf>
    <xf numFmtId="0" fontId="20" fillId="0" borderId="6" xfId="2" applyFont="1" applyBorder="1" applyAlignment="1">
      <alignment wrapText="1"/>
    </xf>
    <xf numFmtId="0" fontId="20" fillId="0" borderId="27" xfId="2" applyFont="1" applyBorder="1" applyAlignment="1">
      <alignment wrapText="1"/>
    </xf>
    <xf numFmtId="0" fontId="20" fillId="0" borderId="31" xfId="2" applyFont="1" applyBorder="1" applyAlignment="1">
      <alignment wrapText="1"/>
    </xf>
    <xf numFmtId="0" fontId="20" fillId="0" borderId="19" xfId="2" applyFont="1" applyBorder="1" applyAlignment="1">
      <alignment wrapText="1"/>
    </xf>
    <xf numFmtId="0" fontId="20" fillId="0" borderId="32" xfId="2" applyFont="1" applyBorder="1" applyAlignment="1">
      <alignment wrapText="1"/>
    </xf>
    <xf numFmtId="0" fontId="26" fillId="0" borderId="28" xfId="2" applyFont="1" applyBorder="1" applyAlignment="1">
      <alignment horizontal="center" vertical="center" wrapText="1"/>
    </xf>
    <xf numFmtId="0" fontId="26" fillId="0" borderId="31" xfId="2" applyFont="1" applyBorder="1" applyAlignment="1">
      <alignment horizontal="center" vertical="center" wrapText="1"/>
    </xf>
    <xf numFmtId="0" fontId="26" fillId="0" borderId="29" xfId="2" applyFont="1" applyBorder="1" applyAlignment="1">
      <alignment horizontal="center" vertical="center" wrapText="1"/>
    </xf>
    <xf numFmtId="0" fontId="26" fillId="0" borderId="33" xfId="2" applyFont="1" applyBorder="1" applyAlignment="1">
      <alignment wrapText="1"/>
    </xf>
    <xf numFmtId="0" fontId="20" fillId="0" borderId="9" xfId="2" applyFont="1" applyBorder="1" applyAlignment="1">
      <alignment horizontal="center" vertical="center" wrapText="1"/>
    </xf>
    <xf numFmtId="0" fontId="20" fillId="0" borderId="31" xfId="2" applyFont="1" applyBorder="1" applyAlignment="1">
      <alignment horizontal="center" vertical="center" wrapText="1"/>
    </xf>
    <xf numFmtId="0" fontId="20" fillId="0" borderId="20" xfId="2" applyFont="1" applyBorder="1" applyAlignment="1">
      <alignment horizontal="center" vertical="center" wrapText="1"/>
    </xf>
    <xf numFmtId="0" fontId="22" fillId="0" borderId="10" xfId="4" applyFont="1" applyBorder="1" applyAlignment="1" applyProtection="1">
      <alignment horizontal="center" vertical="center"/>
      <protection locked="0"/>
    </xf>
    <xf numFmtId="0" fontId="22" fillId="0" borderId="0" xfId="4" applyFont="1" applyAlignment="1" applyProtection="1">
      <alignment horizontal="center" vertical="center"/>
      <protection locked="0"/>
    </xf>
    <xf numFmtId="0" fontId="22" fillId="0" borderId="11" xfId="4" applyFont="1" applyBorder="1" applyAlignment="1" applyProtection="1">
      <alignment horizontal="center" vertical="center"/>
      <protection locked="0"/>
    </xf>
    <xf numFmtId="0" fontId="22" fillId="0" borderId="13" xfId="4" applyFont="1" applyBorder="1" applyAlignment="1" applyProtection="1">
      <alignment horizontal="center" vertical="center"/>
      <protection locked="0"/>
    </xf>
    <xf numFmtId="0" fontId="22" fillId="0" borderId="19" xfId="4" applyFont="1" applyBorder="1" applyAlignment="1" applyProtection="1">
      <alignment horizontal="center" vertical="center"/>
      <protection locked="0"/>
    </xf>
    <xf numFmtId="0" fontId="22" fillId="0" borderId="20" xfId="4" applyFont="1" applyBorder="1" applyAlignment="1" applyProtection="1">
      <alignment horizontal="center" vertical="center"/>
      <protection locked="0"/>
    </xf>
    <xf numFmtId="0" fontId="20" fillId="0" borderId="16" xfId="2" applyFont="1" applyBorder="1" applyAlignment="1">
      <alignment horizontal="center" vertical="center" wrapText="1"/>
    </xf>
    <xf numFmtId="0" fontId="20" fillId="0" borderId="7" xfId="2" applyFont="1" applyBorder="1" applyAlignment="1">
      <alignment horizontal="center" vertical="center" wrapText="1"/>
    </xf>
    <xf numFmtId="0" fontId="20" fillId="0" borderId="17" xfId="2" applyFont="1" applyBorder="1" applyAlignment="1">
      <alignment horizontal="center" vertical="center" wrapText="1"/>
    </xf>
    <xf numFmtId="43" fontId="24" fillId="0" borderId="18" xfId="5" applyFont="1" applyFill="1" applyBorder="1" applyAlignment="1">
      <alignment horizontal="left" vertical="center" wrapText="1" shrinkToFit="1"/>
    </xf>
    <xf numFmtId="43" fontId="24" fillId="0" borderId="7" xfId="5" applyFont="1" applyFill="1" applyBorder="1" applyAlignment="1">
      <alignment horizontal="left" vertical="center" wrapText="1" shrinkToFit="1"/>
    </xf>
    <xf numFmtId="0" fontId="25" fillId="0" borderId="7" xfId="2" applyFont="1" applyBorder="1" applyAlignment="1">
      <alignment wrapText="1" shrinkToFit="1"/>
    </xf>
    <xf numFmtId="0" fontId="20" fillId="0" borderId="21" xfId="2" applyFont="1" applyBorder="1" applyAlignment="1">
      <alignment horizontal="center" vertical="center" wrapText="1"/>
    </xf>
    <xf numFmtId="0" fontId="20" fillId="0" borderId="22" xfId="2" applyFont="1" applyBorder="1" applyAlignment="1">
      <alignment horizontal="center" vertical="center" wrapText="1"/>
    </xf>
    <xf numFmtId="0" fontId="20" fillId="0" borderId="23" xfId="2" applyFont="1" applyBorder="1" applyAlignment="1">
      <alignment horizontal="center" vertical="center" wrapText="1"/>
    </xf>
    <xf numFmtId="43" fontId="20" fillId="4" borderId="24" xfId="5" applyFont="1" applyFill="1" applyBorder="1"/>
    <xf numFmtId="0" fontId="26" fillId="4" borderId="14" xfId="2" applyFont="1" applyFill="1" applyBorder="1"/>
    <xf numFmtId="43" fontId="20" fillId="4" borderId="25" xfId="5" applyFont="1" applyFill="1" applyBorder="1"/>
    <xf numFmtId="0" fontId="26" fillId="4" borderId="26" xfId="2" applyFont="1" applyFill="1" applyBorder="1"/>
    <xf numFmtId="0" fontId="0" fillId="0" borderId="0" xfId="0" applyAlignment="1">
      <alignment horizontal="left" vertical="center" wrapText="1"/>
    </xf>
    <xf numFmtId="0" fontId="0" fillId="0" borderId="0" xfId="0" applyAlignment="1">
      <alignment horizontal="left" wrapText="1"/>
    </xf>
    <xf numFmtId="0" fontId="0" fillId="0" borderId="36" xfId="0" applyBorder="1" applyAlignment="1">
      <alignment horizontal="center" vertical="center" wrapText="1"/>
    </xf>
    <xf numFmtId="0" fontId="0" fillId="0" borderId="39" xfId="0"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cellXfs>
  <cellStyles count="10">
    <cellStyle name="Comma" xfId="1" builtinId="3"/>
    <cellStyle name="Comma 2" xfId="5" xr:uid="{00000000-0005-0000-0000-000001000000}"/>
    <cellStyle name="Comma 4" xfId="6" xr:uid="{00000000-0005-0000-0000-000002000000}"/>
    <cellStyle name="Comma 6" xfId="7" xr:uid="{00000000-0005-0000-0000-000003000000}"/>
    <cellStyle name="Hyperlink" xfId="9" builtinId="8"/>
    <cellStyle name="Normal" xfId="0" builtinId="0"/>
    <cellStyle name="Normal 4" xfId="3" xr:uid="{00000000-0005-0000-0000-000005000000}"/>
    <cellStyle name="Normal 5" xfId="2" xr:uid="{00000000-0005-0000-0000-000006000000}"/>
    <cellStyle name="Normal 5 2" xfId="4" xr:uid="{00000000-0005-0000-0000-000007000000}"/>
    <cellStyle name="Normal_RDC FR 01 January 2016 2" xfId="8" xr:uid="{00000000-0005-0000-0000-000008000000}"/>
  </cellStyles>
  <dxfs count="0"/>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microsoft.com/office/2017/10/relationships/person" Target="persons/person.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fmlaLink="$O$11" lockText="1" noThreeD="1"/>
</file>

<file path=xl/ctrlProps/ctrlProp4.xml><?xml version="1.0" encoding="utf-8"?>
<formControlPr xmlns="http://schemas.microsoft.com/office/spreadsheetml/2009/9/main" objectType="CheckBox" checked="Checked" fmlaLink="$O$12" lockText="1" noThreeD="1"/>
</file>

<file path=xl/ctrlProps/ctrlProp5.xml><?xml version="1.0" encoding="utf-8"?>
<formControlPr xmlns="http://schemas.microsoft.com/office/spreadsheetml/2009/9/main" objectType="CheckBox" fmlaLink="$O$13"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fmlaLink="$O$14"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fmlaLink="$O$15"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fmlaLink="$O$16"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441960</xdr:colOff>
          <xdr:row>22</xdr:row>
          <xdr:rowOff>167640</xdr:rowOff>
        </xdr:from>
        <xdr:to>
          <xdr:col>3</xdr:col>
          <xdr:colOff>510540</xdr:colOff>
          <xdr:row>24</xdr:row>
          <xdr:rowOff>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800" b="0" i="0" u="none" strike="noStrike" baseline="0">
                  <a:solidFill>
                    <a:srgbClr val="000000"/>
                  </a:solidFill>
                  <a:latin typeface="Segoe UI"/>
                  <a:cs typeface="Segoe UI"/>
                </a:rPr>
                <a:t> 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327660</xdr:colOff>
          <xdr:row>22</xdr:row>
          <xdr:rowOff>167640</xdr:rowOff>
        </xdr:from>
        <xdr:to>
          <xdr:col>4</xdr:col>
          <xdr:colOff>396240</xdr:colOff>
          <xdr:row>24</xdr:row>
          <xdr:rowOff>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PH" sz="800" b="0" i="0" u="none" strike="noStrike" baseline="0">
                  <a:solidFill>
                    <a:srgbClr val="000000"/>
                  </a:solidFill>
                  <a:latin typeface="Segoe UI"/>
                  <a:cs typeface="Segoe UI"/>
                </a:rPr>
                <a:t>NO</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10</xdr:row>
          <xdr:rowOff>121920</xdr:rowOff>
        </xdr:from>
        <xdr:to>
          <xdr:col>0</xdr:col>
          <xdr:colOff>708660</xdr:colOff>
          <xdr:row>11</xdr:row>
          <xdr:rowOff>160020</xdr:rowOff>
        </xdr:to>
        <xdr:sp macro="" textlink="">
          <xdr:nvSpPr>
            <xdr:cNvPr id="3073" name="Check Box 1" hidden="1">
              <a:extLst>
                <a:ext uri="{63B3BB69-23CF-44E3-9099-C40C66FF867C}">
                  <a14:compatExt spid="_x0000_s3073"/>
                </a:ext>
                <a:ext uri="{FF2B5EF4-FFF2-40B4-BE49-F238E27FC236}">
                  <a16:creationId xmlns:a16="http://schemas.microsoft.com/office/drawing/2014/main" id="{00000000-0008-0000-0100-00000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xdr:row>
          <xdr:rowOff>121920</xdr:rowOff>
        </xdr:from>
        <xdr:to>
          <xdr:col>0</xdr:col>
          <xdr:colOff>708660</xdr:colOff>
          <xdr:row>12</xdr:row>
          <xdr:rowOff>152400</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1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xdr:row>
          <xdr:rowOff>121920</xdr:rowOff>
        </xdr:from>
        <xdr:to>
          <xdr:col>0</xdr:col>
          <xdr:colOff>708660</xdr:colOff>
          <xdr:row>13</xdr:row>
          <xdr:rowOff>152400</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00000000-0008-0000-0100-00000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xdr:row>
          <xdr:rowOff>121920</xdr:rowOff>
        </xdr:from>
        <xdr:to>
          <xdr:col>0</xdr:col>
          <xdr:colOff>708660</xdr:colOff>
          <xdr:row>14</xdr:row>
          <xdr:rowOff>152400</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100-00000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xdr:row>
          <xdr:rowOff>121920</xdr:rowOff>
        </xdr:from>
        <xdr:to>
          <xdr:col>0</xdr:col>
          <xdr:colOff>708660</xdr:colOff>
          <xdr:row>14</xdr:row>
          <xdr:rowOff>152400</xdr:rowOff>
        </xdr:to>
        <xdr:sp macro="" textlink="">
          <xdr:nvSpPr>
            <xdr:cNvPr id="3077" name="Check Box 5" hidden="1">
              <a:extLst>
                <a:ext uri="{63B3BB69-23CF-44E3-9099-C40C66FF867C}">
                  <a14:compatExt spid="_x0000_s3077"/>
                </a:ext>
                <a:ext uri="{FF2B5EF4-FFF2-40B4-BE49-F238E27FC236}">
                  <a16:creationId xmlns:a16="http://schemas.microsoft.com/office/drawing/2014/main" id="{00000000-0008-0000-0100-00000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121920</xdr:rowOff>
        </xdr:from>
        <xdr:to>
          <xdr:col>0</xdr:col>
          <xdr:colOff>708660</xdr:colOff>
          <xdr:row>15</xdr:row>
          <xdr:rowOff>152400</xdr:rowOff>
        </xdr:to>
        <xdr:sp macro="" textlink="">
          <xdr:nvSpPr>
            <xdr:cNvPr id="3078" name="Check Box 6" hidden="1">
              <a:extLst>
                <a:ext uri="{63B3BB69-23CF-44E3-9099-C40C66FF867C}">
                  <a14:compatExt spid="_x0000_s3078"/>
                </a:ext>
                <a:ext uri="{FF2B5EF4-FFF2-40B4-BE49-F238E27FC236}">
                  <a16:creationId xmlns:a16="http://schemas.microsoft.com/office/drawing/2014/main" id="{00000000-0008-0000-0100-00000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121920</xdr:rowOff>
        </xdr:from>
        <xdr:to>
          <xdr:col>0</xdr:col>
          <xdr:colOff>708660</xdr:colOff>
          <xdr:row>15</xdr:row>
          <xdr:rowOff>152400</xdr:rowOff>
        </xdr:to>
        <xdr:sp macro="" textlink="">
          <xdr:nvSpPr>
            <xdr:cNvPr id="3079" name="Check Box 7" hidden="1">
              <a:extLst>
                <a:ext uri="{63B3BB69-23CF-44E3-9099-C40C66FF867C}">
                  <a14:compatExt spid="_x0000_s3079"/>
                </a:ext>
                <a:ext uri="{FF2B5EF4-FFF2-40B4-BE49-F238E27FC236}">
                  <a16:creationId xmlns:a16="http://schemas.microsoft.com/office/drawing/2014/main" id="{00000000-0008-0000-0100-00000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xdr:row>
          <xdr:rowOff>121920</xdr:rowOff>
        </xdr:from>
        <xdr:to>
          <xdr:col>0</xdr:col>
          <xdr:colOff>708660</xdr:colOff>
          <xdr:row>16</xdr:row>
          <xdr:rowOff>152400</xdr:rowOff>
        </xdr:to>
        <xdr:sp macro="" textlink="">
          <xdr:nvSpPr>
            <xdr:cNvPr id="3080" name="Check Box 8" hidden="1">
              <a:extLst>
                <a:ext uri="{63B3BB69-23CF-44E3-9099-C40C66FF867C}">
                  <a14:compatExt spid="_x0000_s3080"/>
                </a:ext>
                <a:ext uri="{FF2B5EF4-FFF2-40B4-BE49-F238E27FC236}">
                  <a16:creationId xmlns:a16="http://schemas.microsoft.com/office/drawing/2014/main" id="{00000000-0008-0000-0100-00000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xdr:row>
          <xdr:rowOff>121920</xdr:rowOff>
        </xdr:from>
        <xdr:to>
          <xdr:col>0</xdr:col>
          <xdr:colOff>708660</xdr:colOff>
          <xdr:row>16</xdr:row>
          <xdr:rowOff>152400</xdr:rowOff>
        </xdr:to>
        <xdr:sp macro="" textlink="">
          <xdr:nvSpPr>
            <xdr:cNvPr id="3081" name="Check Box 9" hidden="1">
              <a:extLst>
                <a:ext uri="{63B3BB69-23CF-44E3-9099-C40C66FF867C}">
                  <a14:compatExt spid="_x0000_s3081"/>
                </a:ext>
                <a:ext uri="{FF2B5EF4-FFF2-40B4-BE49-F238E27FC236}">
                  <a16:creationId xmlns:a16="http://schemas.microsoft.com/office/drawing/2014/main" id="{00000000-0008-0000-0100-00000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8</xdr:col>
      <xdr:colOff>561975</xdr:colOff>
      <xdr:row>21</xdr:row>
      <xdr:rowOff>0</xdr:rowOff>
    </xdr:from>
    <xdr:to>
      <xdr:col>8</xdr:col>
      <xdr:colOff>561975</xdr:colOff>
      <xdr:row>23</xdr:row>
      <xdr:rowOff>9525</xdr:rowOff>
    </xdr:to>
    <xdr:sp macro="" textlink="">
      <xdr:nvSpPr>
        <xdr:cNvPr id="11" name="Line 1">
          <a:extLst>
            <a:ext uri="{FF2B5EF4-FFF2-40B4-BE49-F238E27FC236}">
              <a16:creationId xmlns:a16="http://schemas.microsoft.com/office/drawing/2014/main" id="{00000000-0008-0000-0100-00000B000000}"/>
            </a:ext>
          </a:extLst>
        </xdr:cNvPr>
        <xdr:cNvSpPr>
          <a:spLocks noChangeShapeType="1"/>
        </xdr:cNvSpPr>
      </xdr:nvSpPr>
      <xdr:spPr bwMode="auto">
        <a:xfrm>
          <a:off x="4581525" y="4235450"/>
          <a:ext cx="0" cy="365125"/>
        </a:xfrm>
        <a:prstGeom prst="line">
          <a:avLst/>
        </a:prstGeom>
        <a:noFill/>
        <a:ln w="9525">
          <a:solidFill>
            <a:srgbClr val="000000"/>
          </a:solidFill>
          <a:round/>
          <a:headEnd/>
          <a:tailEnd/>
        </a:ln>
      </xdr:spPr>
    </xdr:sp>
    <xdr:clientData/>
  </xdr:twoCellAnchor>
  <xdr:twoCellAnchor>
    <xdr:from>
      <xdr:col>8</xdr:col>
      <xdr:colOff>0</xdr:colOff>
      <xdr:row>23</xdr:row>
      <xdr:rowOff>0</xdr:rowOff>
    </xdr:from>
    <xdr:to>
      <xdr:col>8</xdr:col>
      <xdr:colOff>552450</xdr:colOff>
      <xdr:row>23</xdr:row>
      <xdr:rowOff>0</xdr:rowOff>
    </xdr:to>
    <xdr:sp macro="" textlink="">
      <xdr:nvSpPr>
        <xdr:cNvPr id="12" name="Line 2">
          <a:extLst>
            <a:ext uri="{FF2B5EF4-FFF2-40B4-BE49-F238E27FC236}">
              <a16:creationId xmlns:a16="http://schemas.microsoft.com/office/drawing/2014/main" id="{00000000-0008-0000-0100-00000C000000}"/>
            </a:ext>
          </a:extLst>
        </xdr:cNvPr>
        <xdr:cNvSpPr>
          <a:spLocks noChangeShapeType="1"/>
        </xdr:cNvSpPr>
      </xdr:nvSpPr>
      <xdr:spPr bwMode="auto">
        <a:xfrm>
          <a:off x="4019550" y="4591050"/>
          <a:ext cx="552450" cy="0"/>
        </a:xfrm>
        <a:prstGeom prst="line">
          <a:avLst/>
        </a:prstGeom>
        <a:noFill/>
        <a:ln w="9525">
          <a:solidFill>
            <a:srgbClr val="000000"/>
          </a:solidFill>
          <a:round/>
          <a:headEnd/>
          <a:tailEnd/>
        </a:ln>
      </xdr:spPr>
    </xdr:sp>
    <xdr:clientData/>
  </xdr:twoCellAnchor>
  <xdr:twoCellAnchor>
    <xdr:from>
      <xdr:col>28</xdr:col>
      <xdr:colOff>9525</xdr:colOff>
      <xdr:row>20</xdr:row>
      <xdr:rowOff>0</xdr:rowOff>
    </xdr:from>
    <xdr:to>
      <xdr:col>28</xdr:col>
      <xdr:colOff>348620</xdr:colOff>
      <xdr:row>21</xdr:row>
      <xdr:rowOff>63500</xdr:rowOff>
    </xdr:to>
    <xdr:sp macro="" textlink="">
      <xdr:nvSpPr>
        <xdr:cNvPr id="13" name="TextBox 12">
          <a:extLst>
            <a:ext uri="{FF2B5EF4-FFF2-40B4-BE49-F238E27FC236}">
              <a16:creationId xmlns:a16="http://schemas.microsoft.com/office/drawing/2014/main" id="{00000000-0008-0000-0100-00000D000000}"/>
            </a:ext>
          </a:extLst>
        </xdr:cNvPr>
        <xdr:cNvSpPr txBox="1"/>
      </xdr:nvSpPr>
      <xdr:spPr>
        <a:xfrm>
          <a:off x="19872325" y="4051300"/>
          <a:ext cx="339095" cy="24765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PH" sz="1100">
              <a:solidFill>
                <a:sysClr val="windowText" lastClr="000000"/>
              </a:solidFill>
              <a:latin typeface="Times New Roman" panose="02020603050405020304" pitchFamily="18" charset="0"/>
              <a:cs typeface="Times New Roman" panose="02020603050405020304" pitchFamily="18" charset="0"/>
            </a:rPr>
            <a:t>A</a:t>
          </a:r>
        </a:p>
      </xdr:txBody>
    </xdr:sp>
    <xdr:clientData/>
  </xdr:twoCellAnchor>
  <xdr:twoCellAnchor>
    <xdr:from>
      <xdr:col>32</xdr:col>
      <xdr:colOff>0</xdr:colOff>
      <xdr:row>20</xdr:row>
      <xdr:rowOff>0</xdr:rowOff>
    </xdr:from>
    <xdr:to>
      <xdr:col>32</xdr:col>
      <xdr:colOff>339095</xdr:colOff>
      <xdr:row>21</xdr:row>
      <xdr:rowOff>63500</xdr:rowOff>
    </xdr:to>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23056850" y="4051300"/>
          <a:ext cx="339095" cy="24765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PH" sz="1100">
              <a:solidFill>
                <a:sysClr val="windowText" lastClr="000000"/>
              </a:solidFill>
              <a:latin typeface="Times New Roman" panose="02020603050405020304" pitchFamily="18" charset="0"/>
              <a:cs typeface="Times New Roman" panose="02020603050405020304" pitchFamily="18" charset="0"/>
            </a:rPr>
            <a:t>C</a:t>
          </a:r>
        </a:p>
      </xdr:txBody>
    </xdr:sp>
    <xdr:clientData/>
  </xdr:twoCellAnchor>
  <xdr:twoCellAnchor>
    <xdr:from>
      <xdr:col>28</xdr:col>
      <xdr:colOff>0</xdr:colOff>
      <xdr:row>34</xdr:row>
      <xdr:rowOff>9525</xdr:rowOff>
    </xdr:from>
    <xdr:to>
      <xdr:col>28</xdr:col>
      <xdr:colOff>325251</xdr:colOff>
      <xdr:row>34</xdr:row>
      <xdr:rowOff>266700</xdr:rowOff>
    </xdr:to>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19862800" y="6588125"/>
          <a:ext cx="325251" cy="25717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PH" sz="1100">
              <a:solidFill>
                <a:sysClr val="windowText" lastClr="000000"/>
              </a:solidFill>
              <a:latin typeface="Times New Roman" panose="02020603050405020304" pitchFamily="18" charset="0"/>
              <a:cs typeface="Times New Roman" panose="02020603050405020304" pitchFamily="18" charset="0"/>
            </a:rPr>
            <a:t>B</a:t>
          </a:r>
        </a:p>
      </xdr:txBody>
    </xdr:sp>
    <xdr:clientData/>
  </xdr:twoCellAnchor>
  <xdr:twoCellAnchor>
    <xdr:from>
      <xdr:col>32</xdr:col>
      <xdr:colOff>0</xdr:colOff>
      <xdr:row>34</xdr:row>
      <xdr:rowOff>0</xdr:rowOff>
    </xdr:from>
    <xdr:to>
      <xdr:col>32</xdr:col>
      <xdr:colOff>339095</xdr:colOff>
      <xdr:row>34</xdr:row>
      <xdr:rowOff>273050</xdr:rowOff>
    </xdr:to>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23056850" y="6578600"/>
          <a:ext cx="339095" cy="27305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PH" sz="1100">
              <a:solidFill>
                <a:sysClr val="windowText" lastClr="000000"/>
              </a:solidFill>
              <a:latin typeface="Times New Roman" panose="02020603050405020304" pitchFamily="18" charset="0"/>
              <a:cs typeface="Times New Roman" panose="02020603050405020304" pitchFamily="18" charset="0"/>
            </a:rPr>
            <a:t>D</a:t>
          </a:r>
        </a:p>
      </xdr:txBody>
    </xdr:sp>
    <xdr:clientData/>
  </xdr:twoCellAnchor>
  <xdr:twoCellAnchor>
    <xdr:from>
      <xdr:col>32</xdr:col>
      <xdr:colOff>553720</xdr:colOff>
      <xdr:row>21</xdr:row>
      <xdr:rowOff>9525</xdr:rowOff>
    </xdr:from>
    <xdr:to>
      <xdr:col>32</xdr:col>
      <xdr:colOff>914347</xdr:colOff>
      <xdr:row>22</xdr:row>
      <xdr:rowOff>38100</xdr:rowOff>
    </xdr:to>
    <xdr:sp macro="" textlink="">
      <xdr:nvSpPr>
        <xdr:cNvPr id="17" name="Rectangle 16">
          <a:extLst>
            <a:ext uri="{FF2B5EF4-FFF2-40B4-BE49-F238E27FC236}">
              <a16:creationId xmlns:a16="http://schemas.microsoft.com/office/drawing/2014/main" id="{00000000-0008-0000-0100-000011000000}"/>
            </a:ext>
          </a:extLst>
        </xdr:cNvPr>
        <xdr:cNvSpPr/>
      </xdr:nvSpPr>
      <xdr:spPr>
        <a:xfrm>
          <a:off x="23610570" y="4244975"/>
          <a:ext cx="360627" cy="206375"/>
        </a:xfrm>
        <a:prstGeom prst="rect">
          <a:avLst/>
        </a:prstGeom>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endParaRPr lang="en-PH"/>
        </a:p>
      </xdr:txBody>
    </xdr:sp>
    <xdr:clientData/>
  </xdr:twoCellAnchor>
  <xdr:twoCellAnchor>
    <xdr:from>
      <xdr:col>32</xdr:col>
      <xdr:colOff>564515</xdr:colOff>
      <xdr:row>22</xdr:row>
      <xdr:rowOff>158750</xdr:rowOff>
    </xdr:from>
    <xdr:to>
      <xdr:col>32</xdr:col>
      <xdr:colOff>914290</xdr:colOff>
      <xdr:row>24</xdr:row>
      <xdr:rowOff>0</xdr:rowOff>
    </xdr:to>
    <xdr:sp macro="" textlink="">
      <xdr:nvSpPr>
        <xdr:cNvPr id="18" name="Rectangle 17">
          <a:extLst>
            <a:ext uri="{FF2B5EF4-FFF2-40B4-BE49-F238E27FC236}">
              <a16:creationId xmlns:a16="http://schemas.microsoft.com/office/drawing/2014/main" id="{00000000-0008-0000-0100-000012000000}"/>
            </a:ext>
          </a:extLst>
        </xdr:cNvPr>
        <xdr:cNvSpPr/>
      </xdr:nvSpPr>
      <xdr:spPr>
        <a:xfrm>
          <a:off x="23621365" y="4572000"/>
          <a:ext cx="349775" cy="196850"/>
        </a:xfrm>
        <a:prstGeom prst="rect">
          <a:avLst/>
        </a:prstGeom>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endParaRPr lang="en-PH"/>
        </a:p>
      </xdr:txBody>
    </xdr:sp>
    <xdr:clientData/>
  </xdr:twoCellAnchor>
  <xdr:twoCellAnchor>
    <xdr:from>
      <xdr:col>32</xdr:col>
      <xdr:colOff>572770</xdr:colOff>
      <xdr:row>34</xdr:row>
      <xdr:rowOff>147320</xdr:rowOff>
    </xdr:from>
    <xdr:to>
      <xdr:col>32</xdr:col>
      <xdr:colOff>932141</xdr:colOff>
      <xdr:row>34</xdr:row>
      <xdr:rowOff>368300</xdr:rowOff>
    </xdr:to>
    <xdr:sp macro="" textlink="">
      <xdr:nvSpPr>
        <xdr:cNvPr id="19" name="Rectangle 18">
          <a:extLst>
            <a:ext uri="{FF2B5EF4-FFF2-40B4-BE49-F238E27FC236}">
              <a16:creationId xmlns:a16="http://schemas.microsoft.com/office/drawing/2014/main" id="{00000000-0008-0000-0100-000013000000}"/>
            </a:ext>
          </a:extLst>
        </xdr:cNvPr>
        <xdr:cNvSpPr/>
      </xdr:nvSpPr>
      <xdr:spPr>
        <a:xfrm>
          <a:off x="23629620" y="6725920"/>
          <a:ext cx="359371" cy="220980"/>
        </a:xfrm>
        <a:prstGeom prst="rect">
          <a:avLst/>
        </a:prstGeom>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endParaRPr lang="en-PH"/>
        </a:p>
      </xdr:txBody>
    </xdr:sp>
    <xdr:clientData/>
  </xdr:twoCellAnchor>
  <xdr:twoCellAnchor>
    <xdr:from>
      <xdr:col>32</xdr:col>
      <xdr:colOff>589915</xdr:colOff>
      <xdr:row>35</xdr:row>
      <xdr:rowOff>0</xdr:rowOff>
    </xdr:from>
    <xdr:to>
      <xdr:col>32</xdr:col>
      <xdr:colOff>939690</xdr:colOff>
      <xdr:row>36</xdr:row>
      <xdr:rowOff>38101</xdr:rowOff>
    </xdr:to>
    <xdr:sp macro="" textlink="">
      <xdr:nvSpPr>
        <xdr:cNvPr id="20" name="Rectangle 19">
          <a:extLst>
            <a:ext uri="{FF2B5EF4-FFF2-40B4-BE49-F238E27FC236}">
              <a16:creationId xmlns:a16="http://schemas.microsoft.com/office/drawing/2014/main" id="{00000000-0008-0000-0100-000014000000}"/>
            </a:ext>
          </a:extLst>
        </xdr:cNvPr>
        <xdr:cNvSpPr/>
      </xdr:nvSpPr>
      <xdr:spPr>
        <a:xfrm>
          <a:off x="23646765" y="7296150"/>
          <a:ext cx="349775" cy="222251"/>
        </a:xfrm>
        <a:prstGeom prst="rect">
          <a:avLst/>
        </a:prstGeom>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endParaRPr lang="en-PH"/>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d_server\od\2011\backup-flor\2009\RDCGeneral%20LedgerJULY2009%20(version%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sheetName val="102"/>
      <sheetName val="103"/>
      <sheetName val="104"/>
      <sheetName val="106"/>
      <sheetName val="108"/>
      <sheetName val="111"/>
      <sheetName val="123"/>
      <sheetName val="138"/>
      <sheetName val="146"/>
      <sheetName val="148"/>
      <sheetName val="149"/>
      <sheetName val="155"/>
      <sheetName val="156"/>
      <sheetName val="165"/>
      <sheetName val="167"/>
      <sheetName val="221"/>
      <sheetName val="222"/>
      <sheetName val="223"/>
      <sheetName val="229"/>
      <sheetName val="241"/>
      <sheetName val="250"/>
      <sheetName val="290"/>
      <sheetName val="321"/>
      <sheetName val="322"/>
      <sheetName val="323"/>
      <sheetName val="329"/>
      <sheetName val="341"/>
      <sheetName val="350"/>
      <sheetName val="401"/>
      <sheetName val="403"/>
      <sheetName val="411"/>
      <sheetName val="412"/>
      <sheetName val="439"/>
      <sheetName val="455"/>
      <sheetName val="501"/>
      <sheetName val="512"/>
      <sheetName val="513"/>
      <sheetName val="651"/>
      <sheetName val="684"/>
      <sheetName val="720"/>
      <sheetName val="749"/>
      <sheetName val="751"/>
      <sheetName val="753"/>
      <sheetName val="755"/>
      <sheetName val="756"/>
      <sheetName val="761"/>
      <sheetName val="765"/>
      <sheetName val="766"/>
      <sheetName val="767"/>
      <sheetName val="771"/>
      <sheetName val="772"/>
      <sheetName val="773"/>
      <sheetName val="774"/>
      <sheetName val="781"/>
      <sheetName val="782"/>
      <sheetName val="783"/>
      <sheetName val="786"/>
      <sheetName val="791"/>
      <sheetName val="792"/>
      <sheetName val="795"/>
      <sheetName val="797"/>
      <sheetName val="799"/>
      <sheetName val="811"/>
      <sheetName val="821"/>
      <sheetName val="822"/>
      <sheetName val="823"/>
      <sheetName val="841"/>
      <sheetName val="850"/>
      <sheetName val="878"/>
      <sheetName val="883"/>
      <sheetName val="891"/>
      <sheetName val="892"/>
      <sheetName val="893"/>
      <sheetName val="921"/>
      <sheetName val="922"/>
      <sheetName val="923"/>
      <sheetName val="924"/>
      <sheetName val="929"/>
      <sheetName val="941"/>
      <sheetName val="950"/>
      <sheetName val="969"/>
    </sheetNames>
    <sheetDataSet>
      <sheetData sheetId="0" refreshError="1"/>
      <sheetData sheetId="1"/>
      <sheetData sheetId="2" refreshError="1"/>
      <sheetData sheetId="3"/>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refreshError="1"/>
      <sheetData sheetId="44"/>
      <sheetData sheetId="45" refreshError="1"/>
      <sheetData sheetId="46"/>
      <sheetData sheetId="47" refreshError="1"/>
      <sheetData sheetId="48" refreshError="1"/>
      <sheetData sheetId="49" refreshError="1"/>
      <sheetData sheetId="50"/>
      <sheetData sheetId="51" refreshError="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ow r="40">
          <cell r="A40">
            <v>39844</v>
          </cell>
          <cell r="B40" t="str">
            <v>Check Disbursement Journal</v>
          </cell>
          <cell r="D40">
            <v>3445</v>
          </cell>
        </row>
        <row r="44">
          <cell r="D44">
            <v>3445</v>
          </cell>
          <cell r="E44">
            <v>0</v>
          </cell>
          <cell r="F44">
            <v>3445</v>
          </cell>
        </row>
        <row r="45">
          <cell r="A45">
            <v>39872</v>
          </cell>
          <cell r="B45" t="str">
            <v>Check Disbursement Journal(mds)</v>
          </cell>
          <cell r="D45">
            <v>19290</v>
          </cell>
        </row>
      </sheetData>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7.xml"/><Relationship Id="rId3" Type="http://schemas.openxmlformats.org/officeDocument/2006/relationships/vmlDrawing" Target="../drawings/vmlDrawing2.vml"/><Relationship Id="rId7" Type="http://schemas.openxmlformats.org/officeDocument/2006/relationships/ctrlProp" Target="../ctrlProps/ctrlProp6.xml"/><Relationship Id="rId12" Type="http://schemas.openxmlformats.org/officeDocument/2006/relationships/ctrlProp" Target="../ctrlProps/ctrlProp11.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5.xml"/><Relationship Id="rId11" Type="http://schemas.openxmlformats.org/officeDocument/2006/relationships/ctrlProp" Target="../ctrlProps/ctrlProp10.xml"/><Relationship Id="rId5" Type="http://schemas.openxmlformats.org/officeDocument/2006/relationships/ctrlProp" Target="../ctrlProps/ctrlProp4.xml"/><Relationship Id="rId10" Type="http://schemas.openxmlformats.org/officeDocument/2006/relationships/ctrlProp" Target="../ctrlProps/ctrlProp9.xml"/><Relationship Id="rId4" Type="http://schemas.openxmlformats.org/officeDocument/2006/relationships/ctrlProp" Target="../ctrlProps/ctrlProp3.xml"/><Relationship Id="rId9" Type="http://schemas.openxmlformats.org/officeDocument/2006/relationships/ctrlProp" Target="../ctrlProps/ctrlProp8.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9"/>
  <sheetViews>
    <sheetView tabSelected="1" zoomScaleNormal="100" workbookViewId="0">
      <selection activeCell="F13" sqref="F13"/>
    </sheetView>
  </sheetViews>
  <sheetFormatPr defaultRowHeight="14.4" x14ac:dyDescent="0.3"/>
  <cols>
    <col min="2" max="2" width="7.5546875" customWidth="1"/>
    <col min="5" max="5" width="7.77734375" customWidth="1"/>
    <col min="6" max="6" width="13.6640625" customWidth="1"/>
    <col min="7" max="7" width="11.77734375" customWidth="1"/>
    <col min="10" max="10" width="10" customWidth="1"/>
    <col min="11" max="11" width="10.5546875" customWidth="1"/>
  </cols>
  <sheetData>
    <row r="1" spans="1:14" ht="27.45" customHeight="1" x14ac:dyDescent="0.4">
      <c r="A1" s="221" t="str">
        <f>'ORS-BURS'!A3:I3</f>
        <v>REGIONAL DEVELOPMENT COUNCIL 5</v>
      </c>
      <c r="B1" s="221"/>
      <c r="C1" s="221"/>
      <c r="D1" s="221"/>
      <c r="E1" s="221"/>
      <c r="F1" s="221"/>
      <c r="G1" s="221"/>
      <c r="H1" s="221"/>
      <c r="I1" s="221"/>
      <c r="J1" s="221"/>
      <c r="K1" s="221"/>
    </row>
    <row r="2" spans="1:14" x14ac:dyDescent="0.3">
      <c r="A2" s="222" t="str">
        <f>'ORS-BURS'!A4:I4</f>
        <v>Arimbay Legazpi City</v>
      </c>
      <c r="B2" s="222"/>
      <c r="C2" s="222"/>
      <c r="D2" s="222"/>
      <c r="E2" s="222"/>
      <c r="F2" s="222"/>
      <c r="G2" s="222"/>
      <c r="H2" s="222"/>
      <c r="I2" s="222"/>
      <c r="J2" s="222"/>
      <c r="K2" s="222"/>
    </row>
    <row r="3" spans="1:14" x14ac:dyDescent="0.3">
      <c r="A3" s="154"/>
      <c r="B3" s="154"/>
      <c r="C3" s="154"/>
      <c r="D3" s="154"/>
      <c r="E3" s="154"/>
      <c r="F3" s="154"/>
      <c r="G3" s="154"/>
      <c r="H3" s="154"/>
      <c r="I3" s="154"/>
      <c r="J3" s="154"/>
      <c r="K3" s="154"/>
    </row>
    <row r="4" spans="1:14" x14ac:dyDescent="0.3">
      <c r="A4" s="2"/>
      <c r="B4" s="2"/>
      <c r="C4" s="2"/>
      <c r="D4" s="2"/>
      <c r="E4" s="2"/>
      <c r="G4" s="228" t="s">
        <v>11</v>
      </c>
      <c r="H4" s="228"/>
      <c r="I4" s="228"/>
      <c r="J4" s="228"/>
      <c r="K4" s="228"/>
    </row>
    <row r="5" spans="1:14" x14ac:dyDescent="0.3">
      <c r="A5" s="2"/>
      <c r="B5" s="2"/>
      <c r="C5" s="2"/>
      <c r="D5" s="2"/>
      <c r="E5" s="2"/>
      <c r="F5" s="2"/>
      <c r="G5" s="2"/>
      <c r="H5" s="2"/>
      <c r="I5" s="2"/>
      <c r="J5" s="2"/>
      <c r="K5" s="2"/>
    </row>
    <row r="6" spans="1:14" s="1" customFormat="1" ht="27.75" customHeight="1" x14ac:dyDescent="0.3">
      <c r="A6" s="160" t="s">
        <v>13</v>
      </c>
      <c r="B6" s="226" t="s">
        <v>168</v>
      </c>
      <c r="C6" s="226"/>
      <c r="D6" s="226"/>
      <c r="E6" s="226"/>
      <c r="F6" s="160" t="s">
        <v>15</v>
      </c>
      <c r="G6" s="226" t="s">
        <v>166</v>
      </c>
      <c r="H6" s="226"/>
      <c r="I6" s="226"/>
      <c r="J6" s="226"/>
      <c r="K6" s="232"/>
    </row>
    <row r="7" spans="1:14" s="1" customFormat="1" ht="27" customHeight="1" x14ac:dyDescent="0.3">
      <c r="A7" s="160" t="s">
        <v>14</v>
      </c>
      <c r="B7" s="162"/>
      <c r="C7" s="227" t="s">
        <v>154</v>
      </c>
      <c r="D7" s="227"/>
      <c r="E7" s="227"/>
      <c r="F7" s="159" t="s">
        <v>16</v>
      </c>
      <c r="G7" s="229" t="s">
        <v>151</v>
      </c>
      <c r="H7" s="229"/>
      <c r="I7" s="229"/>
      <c r="J7" s="229"/>
      <c r="K7" s="233"/>
    </row>
    <row r="8" spans="1:14" s="1" customFormat="1" ht="57" customHeight="1" x14ac:dyDescent="0.3">
      <c r="A8" s="159" t="s">
        <v>128</v>
      </c>
      <c r="B8" s="161"/>
      <c r="C8" s="229" t="s">
        <v>156</v>
      </c>
      <c r="D8" s="229"/>
      <c r="E8" s="229"/>
      <c r="F8" s="163" t="s">
        <v>17</v>
      </c>
      <c r="G8" s="230" t="s">
        <v>155</v>
      </c>
      <c r="H8" s="230"/>
      <c r="I8" s="230"/>
      <c r="J8" s="230"/>
      <c r="K8" s="231"/>
    </row>
    <row r="9" spans="1:14" s="1" customFormat="1" ht="22.5" customHeight="1" x14ac:dyDescent="0.3">
      <c r="A9" s="223" t="s">
        <v>0</v>
      </c>
      <c r="B9" s="224"/>
      <c r="C9" s="224"/>
      <c r="D9" s="224"/>
      <c r="E9" s="224"/>
      <c r="F9" s="224"/>
      <c r="G9" s="224"/>
      <c r="H9" s="224"/>
      <c r="I9" s="224"/>
      <c r="J9" s="224"/>
      <c r="K9" s="225"/>
    </row>
    <row r="10" spans="1:14" ht="15.6" x14ac:dyDescent="0.3">
      <c r="A10" s="236" t="s">
        <v>2</v>
      </c>
      <c r="B10" s="236"/>
      <c r="C10" s="236"/>
      <c r="D10" s="236"/>
      <c r="E10" s="236"/>
      <c r="F10" s="236"/>
      <c r="G10" s="236"/>
      <c r="H10" s="236"/>
      <c r="I10" s="236"/>
      <c r="J10" s="236"/>
      <c r="K10" s="236"/>
    </row>
    <row r="11" spans="1:14" s="1" customFormat="1" ht="14.55" customHeight="1" x14ac:dyDescent="0.3">
      <c r="A11" s="238" t="s">
        <v>3</v>
      </c>
      <c r="B11" s="238" t="s">
        <v>4</v>
      </c>
      <c r="C11" s="238"/>
      <c r="D11" s="237" t="s">
        <v>5</v>
      </c>
      <c r="E11" s="237"/>
      <c r="F11" s="242" t="s">
        <v>125</v>
      </c>
      <c r="G11" s="239" t="s">
        <v>8</v>
      </c>
      <c r="H11" s="240"/>
      <c r="I11" s="240"/>
      <c r="J11" s="240"/>
      <c r="K11" s="241"/>
    </row>
    <row r="12" spans="1:14" s="1" customFormat="1" ht="31.5" customHeight="1" x14ac:dyDescent="0.3">
      <c r="A12" s="238"/>
      <c r="B12" s="238"/>
      <c r="C12" s="238"/>
      <c r="D12" s="3" t="s">
        <v>6</v>
      </c>
      <c r="E12" s="3" t="s">
        <v>7</v>
      </c>
      <c r="F12" s="243"/>
      <c r="G12" s="4" t="s">
        <v>122</v>
      </c>
      <c r="H12" s="4" t="s">
        <v>123</v>
      </c>
      <c r="I12" s="5" t="s">
        <v>124</v>
      </c>
      <c r="J12" s="5" t="s">
        <v>9</v>
      </c>
      <c r="K12" s="4" t="s">
        <v>10</v>
      </c>
    </row>
    <row r="13" spans="1:14" ht="27.6" customHeight="1" x14ac:dyDescent="0.3">
      <c r="A13" s="186" t="s">
        <v>157</v>
      </c>
      <c r="B13" s="234" t="s">
        <v>158</v>
      </c>
      <c r="C13" s="235"/>
      <c r="D13" s="183">
        <v>0.29166666666666669</v>
      </c>
      <c r="E13" s="183">
        <v>0.35416666666666669</v>
      </c>
      <c r="F13" s="185" t="s">
        <v>150</v>
      </c>
      <c r="G13" s="187"/>
      <c r="H13" s="187"/>
      <c r="I13" s="187">
        <v>450</v>
      </c>
      <c r="J13" s="187">
        <v>300</v>
      </c>
      <c r="K13" s="187">
        <f>SUM(G13:J13)</f>
        <v>750</v>
      </c>
      <c r="N13" s="181"/>
    </row>
    <row r="14" spans="1:14" ht="27.6" customHeight="1" x14ac:dyDescent="0.3">
      <c r="A14" s="186"/>
      <c r="B14" s="234" t="s">
        <v>159</v>
      </c>
      <c r="C14" s="235"/>
      <c r="D14" s="183">
        <v>0.75</v>
      </c>
      <c r="E14" s="183">
        <v>0.8125</v>
      </c>
      <c r="F14" s="185"/>
      <c r="G14" s="187"/>
      <c r="H14" s="187"/>
      <c r="I14" s="187"/>
      <c r="J14" s="187"/>
      <c r="K14" s="187">
        <f t="shared" ref="K14:K22" si="0">SUM(G14:J14)</f>
        <v>0</v>
      </c>
      <c r="N14" s="181"/>
    </row>
    <row r="15" spans="1:14" ht="22.8" customHeight="1" x14ac:dyDescent="0.3">
      <c r="A15" s="186" t="s">
        <v>160</v>
      </c>
      <c r="B15" s="234" t="s">
        <v>158</v>
      </c>
      <c r="C15" s="235"/>
      <c r="D15" s="184">
        <v>0.29166666666666669</v>
      </c>
      <c r="E15" s="183">
        <v>0.35416666666666669</v>
      </c>
      <c r="F15" s="185" t="s">
        <v>150</v>
      </c>
      <c r="G15" s="187"/>
      <c r="H15" s="187"/>
      <c r="I15" s="187">
        <v>450</v>
      </c>
      <c r="J15" s="187">
        <v>300</v>
      </c>
      <c r="K15" s="187">
        <f>SUM(G15:J15)</f>
        <v>750</v>
      </c>
      <c r="N15" s="181"/>
    </row>
    <row r="16" spans="1:14" ht="22.8" customHeight="1" x14ac:dyDescent="0.3">
      <c r="A16" s="186"/>
      <c r="B16" s="234" t="s">
        <v>159</v>
      </c>
      <c r="C16" s="235"/>
      <c r="D16" s="183">
        <v>0.75</v>
      </c>
      <c r="E16" s="183">
        <v>0.8125</v>
      </c>
      <c r="F16" s="185"/>
      <c r="G16" s="187"/>
      <c r="H16" s="187"/>
      <c r="I16" s="187"/>
      <c r="J16" s="187"/>
      <c r="K16" s="187"/>
      <c r="N16" s="181"/>
    </row>
    <row r="17" spans="1:14" ht="27.6" customHeight="1" x14ac:dyDescent="0.3">
      <c r="A17" s="186" t="s">
        <v>161</v>
      </c>
      <c r="B17" s="234" t="s">
        <v>158</v>
      </c>
      <c r="C17" s="235"/>
      <c r="D17" s="184">
        <v>0.29166666666666669</v>
      </c>
      <c r="E17" s="183">
        <v>0.35416666666666669</v>
      </c>
      <c r="F17" s="185" t="s">
        <v>150</v>
      </c>
      <c r="G17" s="187"/>
      <c r="H17" s="187"/>
      <c r="I17" s="187">
        <v>450</v>
      </c>
      <c r="J17" s="187">
        <v>300</v>
      </c>
      <c r="K17" s="187">
        <f>SUM(G17:J17)</f>
        <v>750</v>
      </c>
      <c r="N17" s="181"/>
    </row>
    <row r="18" spans="1:14" ht="27.6" customHeight="1" x14ac:dyDescent="0.3">
      <c r="A18" s="186"/>
      <c r="B18" s="234" t="s">
        <v>159</v>
      </c>
      <c r="C18" s="235"/>
      <c r="D18" s="183">
        <v>0.75</v>
      </c>
      <c r="E18" s="183">
        <v>0.8125</v>
      </c>
      <c r="F18" s="185"/>
      <c r="G18" s="187"/>
      <c r="H18" s="187"/>
      <c r="I18" s="187"/>
      <c r="J18" s="187"/>
      <c r="K18" s="187"/>
      <c r="N18" s="181"/>
    </row>
    <row r="19" spans="1:14" ht="23.4" customHeight="1" x14ac:dyDescent="0.3">
      <c r="A19" s="186" t="s">
        <v>162</v>
      </c>
      <c r="B19" s="234" t="s">
        <v>158</v>
      </c>
      <c r="C19" s="235"/>
      <c r="D19" s="184">
        <v>0.29166666666666669</v>
      </c>
      <c r="E19" s="183">
        <v>0.35416666666666669</v>
      </c>
      <c r="F19" s="185" t="s">
        <v>150</v>
      </c>
      <c r="G19" s="187"/>
      <c r="H19" s="187"/>
      <c r="I19" s="187">
        <v>450</v>
      </c>
      <c r="J19" s="187">
        <v>300</v>
      </c>
      <c r="K19" s="187">
        <f>SUM(G19:J19)</f>
        <v>750</v>
      </c>
      <c r="N19" s="181"/>
    </row>
    <row r="20" spans="1:14" ht="23.4" customHeight="1" x14ac:dyDescent="0.3">
      <c r="A20" s="186"/>
      <c r="B20" s="234" t="s">
        <v>159</v>
      </c>
      <c r="C20" s="235"/>
      <c r="D20" s="183">
        <v>0.75</v>
      </c>
      <c r="E20" s="183">
        <v>0.8125</v>
      </c>
      <c r="F20" s="185"/>
      <c r="G20" s="187"/>
      <c r="H20" s="187"/>
      <c r="I20" s="187"/>
      <c r="J20" s="187"/>
      <c r="K20" s="187"/>
      <c r="N20" s="181"/>
    </row>
    <row r="21" spans="1:14" ht="22.8" customHeight="1" x14ac:dyDescent="0.3">
      <c r="A21" s="186" t="s">
        <v>163</v>
      </c>
      <c r="B21" s="234" t="s">
        <v>158</v>
      </c>
      <c r="C21" s="235"/>
      <c r="D21" s="184">
        <v>0.29166666666666669</v>
      </c>
      <c r="E21" s="183">
        <v>0.35416666666666669</v>
      </c>
      <c r="F21" s="185" t="s">
        <v>150</v>
      </c>
      <c r="G21" s="187"/>
      <c r="H21" s="187"/>
      <c r="I21" s="187">
        <v>450</v>
      </c>
      <c r="J21" s="187">
        <v>300</v>
      </c>
      <c r="K21" s="187">
        <f>SUM(G21:J21)</f>
        <v>750</v>
      </c>
    </row>
    <row r="22" spans="1:14" ht="22.8" customHeight="1" x14ac:dyDescent="0.3">
      <c r="A22" s="186"/>
      <c r="B22" s="234" t="s">
        <v>159</v>
      </c>
      <c r="C22" s="235"/>
      <c r="D22" s="183">
        <v>0.75</v>
      </c>
      <c r="E22" s="183">
        <v>0.8125</v>
      </c>
      <c r="F22" s="185"/>
      <c r="G22" s="187"/>
      <c r="H22" s="187"/>
      <c r="I22" s="187"/>
      <c r="J22" s="187"/>
      <c r="K22" s="187">
        <f t="shared" si="0"/>
        <v>0</v>
      </c>
    </row>
    <row r="23" spans="1:14" ht="15.6" customHeight="1" x14ac:dyDescent="0.3">
      <c r="A23" s="201" t="s">
        <v>147</v>
      </c>
      <c r="B23" s="202"/>
      <c r="C23" s="202"/>
      <c r="D23" s="202"/>
      <c r="E23" s="202"/>
      <c r="F23" s="202"/>
      <c r="G23" s="202"/>
      <c r="H23" s="202"/>
      <c r="I23" s="202"/>
      <c r="J23" s="202"/>
      <c r="K23" s="180">
        <f>SUM(K13:K22)</f>
        <v>3750</v>
      </c>
      <c r="L23" s="182"/>
    </row>
    <row r="24" spans="1:14" x14ac:dyDescent="0.3">
      <c r="A24" s="8" t="s">
        <v>12</v>
      </c>
      <c r="B24" s="7"/>
      <c r="C24" s="7"/>
      <c r="D24" s="9"/>
      <c r="E24" s="7"/>
      <c r="F24" s="155" t="s">
        <v>126</v>
      </c>
      <c r="G24" s="7"/>
      <c r="H24" s="7"/>
      <c r="I24" s="7"/>
      <c r="J24" s="7"/>
      <c r="K24" s="6"/>
    </row>
    <row r="25" spans="1:14" ht="36.450000000000003" customHeight="1" x14ac:dyDescent="0.3">
      <c r="A25" s="188" t="s">
        <v>1</v>
      </c>
      <c r="B25" s="189"/>
      <c r="C25" s="189"/>
      <c r="D25" s="189"/>
      <c r="E25" s="189"/>
      <c r="F25" s="190"/>
      <c r="G25" s="190"/>
      <c r="H25" s="190"/>
      <c r="I25" s="190"/>
      <c r="J25" s="190"/>
      <c r="K25" s="191"/>
    </row>
    <row r="26" spans="1:14" x14ac:dyDescent="0.3">
      <c r="A26" s="209" t="s">
        <v>129</v>
      </c>
      <c r="B26" s="210"/>
      <c r="C26" s="210"/>
      <c r="D26" s="210"/>
      <c r="E26" s="211"/>
      <c r="F26" s="192" t="s">
        <v>120</v>
      </c>
      <c r="G26" s="192"/>
      <c r="H26" s="192"/>
      <c r="I26" s="192"/>
      <c r="J26" s="192"/>
      <c r="K26" s="193"/>
    </row>
    <row r="27" spans="1:14" ht="28.95" customHeight="1" x14ac:dyDescent="0.3">
      <c r="A27" s="212"/>
      <c r="B27" s="213"/>
      <c r="C27" s="213"/>
      <c r="D27" s="213"/>
      <c r="E27" s="214"/>
      <c r="F27" s="194"/>
      <c r="G27" s="194"/>
      <c r="H27" s="194"/>
      <c r="I27" s="194"/>
      <c r="J27" s="194"/>
      <c r="K27" s="195"/>
    </row>
    <row r="28" spans="1:14" x14ac:dyDescent="0.3">
      <c r="A28" s="206" t="s">
        <v>167</v>
      </c>
      <c r="B28" s="207"/>
      <c r="C28" s="207"/>
      <c r="D28" s="207"/>
      <c r="E28" s="208"/>
      <c r="F28" s="194"/>
      <c r="G28" s="194"/>
      <c r="H28" s="194"/>
      <c r="I28" s="194"/>
      <c r="J28" s="194"/>
      <c r="K28" s="195"/>
    </row>
    <row r="29" spans="1:14" x14ac:dyDescent="0.3">
      <c r="A29" s="215" t="str">
        <f>G6</f>
        <v>Information Systems Analyst II</v>
      </c>
      <c r="B29" s="216"/>
      <c r="C29" s="216"/>
      <c r="D29" s="216"/>
      <c r="E29" s="217"/>
      <c r="F29" s="194"/>
      <c r="G29" s="194"/>
      <c r="H29" s="194"/>
      <c r="I29" s="194"/>
      <c r="J29" s="194"/>
      <c r="K29" s="195"/>
    </row>
    <row r="30" spans="1:14" x14ac:dyDescent="0.3">
      <c r="A30" s="164" t="s">
        <v>18</v>
      </c>
      <c r="B30" s="165"/>
      <c r="C30" s="199" t="s">
        <v>164</v>
      </c>
      <c r="D30" s="199"/>
      <c r="E30" s="200"/>
      <c r="F30" s="206" t="s">
        <v>115</v>
      </c>
      <c r="G30" s="207"/>
      <c r="H30" s="207"/>
      <c r="I30" s="207"/>
      <c r="J30" s="207"/>
      <c r="K30" s="208"/>
    </row>
    <row r="31" spans="1:14" x14ac:dyDescent="0.3">
      <c r="A31" s="156" t="s">
        <v>121</v>
      </c>
      <c r="B31" s="157"/>
      <c r="C31" s="157"/>
      <c r="D31" s="157"/>
      <c r="E31" s="158"/>
      <c r="F31" s="218" t="s">
        <v>165</v>
      </c>
      <c r="G31" s="219"/>
      <c r="H31" s="219"/>
      <c r="I31" s="219"/>
      <c r="J31" s="219"/>
      <c r="K31" s="220"/>
    </row>
    <row r="32" spans="1:14" s="1" customFormat="1" ht="33.6" customHeight="1" x14ac:dyDescent="0.3">
      <c r="A32" s="196" t="s">
        <v>127</v>
      </c>
      <c r="B32" s="197"/>
      <c r="C32" s="197"/>
      <c r="D32" s="197"/>
      <c r="E32" s="197"/>
      <c r="F32" s="197"/>
      <c r="G32" s="197"/>
      <c r="H32" s="197"/>
      <c r="I32" s="197"/>
      <c r="J32" s="197"/>
      <c r="K32" s="198"/>
    </row>
    <row r="33" spans="1:11" s="1" customFormat="1" x14ac:dyDescent="0.3">
      <c r="A33" s="212" t="s">
        <v>148</v>
      </c>
      <c r="B33" s="213"/>
      <c r="C33" s="213"/>
      <c r="D33" s="213"/>
      <c r="E33" s="213"/>
      <c r="F33" s="213"/>
      <c r="G33" s="213"/>
      <c r="H33" s="213"/>
      <c r="I33" s="213"/>
      <c r="J33" s="213"/>
      <c r="K33" s="214"/>
    </row>
    <row r="34" spans="1:11" x14ac:dyDescent="0.3">
      <c r="A34" s="203" t="s">
        <v>149</v>
      </c>
      <c r="B34" s="204"/>
      <c r="C34" s="204"/>
      <c r="D34" s="204"/>
      <c r="E34" s="204"/>
      <c r="F34" s="204"/>
      <c r="G34" s="204"/>
      <c r="H34" s="204"/>
      <c r="I34" s="204"/>
      <c r="J34" s="204"/>
      <c r="K34" s="205"/>
    </row>
    <row r="35" spans="1:11" x14ac:dyDescent="0.3">
      <c r="A35" s="2"/>
      <c r="B35" s="2"/>
      <c r="C35" s="2"/>
      <c r="D35" s="2"/>
      <c r="E35" s="2"/>
      <c r="F35" s="2"/>
      <c r="G35" s="2"/>
      <c r="H35" s="2"/>
      <c r="I35" s="2"/>
      <c r="J35" s="2"/>
      <c r="K35" s="2"/>
    </row>
    <row r="36" spans="1:11" x14ac:dyDescent="0.3">
      <c r="A36" s="2"/>
      <c r="B36" s="2"/>
      <c r="C36" s="2"/>
      <c r="D36" s="2"/>
      <c r="E36" s="2"/>
      <c r="F36" s="2"/>
      <c r="G36" s="2"/>
      <c r="H36" s="2"/>
      <c r="I36" s="2"/>
      <c r="J36" s="2"/>
      <c r="K36" s="2"/>
    </row>
    <row r="37" spans="1:11" x14ac:dyDescent="0.3">
      <c r="A37" s="2"/>
      <c r="B37" s="2"/>
      <c r="C37" s="2"/>
      <c r="D37" s="2"/>
      <c r="E37" s="2"/>
      <c r="F37" s="2"/>
      <c r="G37" s="2"/>
      <c r="H37" s="2"/>
      <c r="I37" s="2"/>
      <c r="J37" s="2"/>
      <c r="K37" s="2"/>
    </row>
    <row r="38" spans="1:11" x14ac:dyDescent="0.3">
      <c r="A38" s="2"/>
      <c r="B38" s="2"/>
      <c r="C38" s="2"/>
      <c r="D38" s="2"/>
      <c r="E38" s="2"/>
      <c r="F38" s="2"/>
      <c r="G38" s="2"/>
      <c r="H38" s="2"/>
      <c r="I38" s="2"/>
      <c r="J38" s="2"/>
      <c r="K38" s="2"/>
    </row>
    <row r="39" spans="1:11" x14ac:dyDescent="0.3">
      <c r="A39" s="2"/>
      <c r="B39" s="2"/>
      <c r="C39" s="2"/>
      <c r="D39" s="2"/>
      <c r="E39" s="2"/>
      <c r="F39" s="2"/>
      <c r="G39" s="2"/>
      <c r="H39" s="2"/>
      <c r="I39" s="2"/>
      <c r="J39" s="2"/>
      <c r="K39" s="2"/>
    </row>
  </sheetData>
  <mergeCells count="39">
    <mergeCell ref="A10:K10"/>
    <mergeCell ref="D11:E11"/>
    <mergeCell ref="B11:C12"/>
    <mergeCell ref="A11:A12"/>
    <mergeCell ref="G11:K11"/>
    <mergeCell ref="F11:F12"/>
    <mergeCell ref="B22:C22"/>
    <mergeCell ref="B17:C17"/>
    <mergeCell ref="B19:C19"/>
    <mergeCell ref="B20:C20"/>
    <mergeCell ref="B18:C18"/>
    <mergeCell ref="B13:C13"/>
    <mergeCell ref="B21:C21"/>
    <mergeCell ref="B15:C15"/>
    <mergeCell ref="B14:C14"/>
    <mergeCell ref="B16:C16"/>
    <mergeCell ref="A1:K1"/>
    <mergeCell ref="A2:K2"/>
    <mergeCell ref="A9:K9"/>
    <mergeCell ref="B6:E6"/>
    <mergeCell ref="C7:E7"/>
    <mergeCell ref="G4:K4"/>
    <mergeCell ref="C8:E8"/>
    <mergeCell ref="G8:K8"/>
    <mergeCell ref="G6:K6"/>
    <mergeCell ref="G7:K7"/>
    <mergeCell ref="A34:K34"/>
    <mergeCell ref="A28:E28"/>
    <mergeCell ref="A26:E26"/>
    <mergeCell ref="A27:E27"/>
    <mergeCell ref="A29:E29"/>
    <mergeCell ref="F30:K30"/>
    <mergeCell ref="F31:K31"/>
    <mergeCell ref="A33:K33"/>
    <mergeCell ref="A25:K25"/>
    <mergeCell ref="F26:K29"/>
    <mergeCell ref="A32:K32"/>
    <mergeCell ref="C30:E30"/>
    <mergeCell ref="A23:J23"/>
  </mergeCells>
  <printOptions horizontalCentered="1"/>
  <pageMargins left="0.23622047244094491" right="0.23622047244094491" top="0.35433070866141736" bottom="0.35433070866141736" header="0.11811023622047245" footer="0.11811023622047245"/>
  <pageSetup paperSize="9" scale="90" fitToWidth="0"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2</xdr:col>
                    <xdr:colOff>441960</xdr:colOff>
                    <xdr:row>22</xdr:row>
                    <xdr:rowOff>167640</xdr:rowOff>
                  </from>
                  <to>
                    <xdr:col>3</xdr:col>
                    <xdr:colOff>510540</xdr:colOff>
                    <xdr:row>24</xdr:row>
                    <xdr:rowOff>0</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3</xdr:col>
                    <xdr:colOff>327660</xdr:colOff>
                    <xdr:row>22</xdr:row>
                    <xdr:rowOff>167640</xdr:rowOff>
                  </from>
                  <to>
                    <xdr:col>4</xdr:col>
                    <xdr:colOff>396240</xdr:colOff>
                    <xdr:row>24</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47"/>
  <sheetViews>
    <sheetView showGridLines="0" zoomScaleNormal="100" zoomScaleSheetLayoutView="100" workbookViewId="0">
      <selection activeCell="D12" sqref="D12:H21"/>
    </sheetView>
  </sheetViews>
  <sheetFormatPr defaultRowHeight="13.8" x14ac:dyDescent="0.25"/>
  <cols>
    <col min="1" max="1" width="11.44140625" style="19" customWidth="1"/>
    <col min="2" max="2" width="4.44140625" style="19" customWidth="1"/>
    <col min="3" max="3" width="5.21875" style="19" customWidth="1"/>
    <col min="4" max="4" width="10.44140625" style="19" customWidth="1"/>
    <col min="5" max="5" width="6.5546875" style="19" customWidth="1"/>
    <col min="6" max="6" width="4.44140625" style="19" customWidth="1"/>
    <col min="7" max="7" width="4.21875" style="19" customWidth="1"/>
    <col min="8" max="8" width="10.77734375" style="19" bestFit="1" customWidth="1"/>
    <col min="9" max="9" width="18.5546875" style="19" customWidth="1"/>
    <col min="10" max="10" width="14.77734375" style="19" customWidth="1"/>
    <col min="11" max="11" width="9.44140625" style="19" customWidth="1"/>
    <col min="12" max="12" width="9.109375" style="19" customWidth="1"/>
    <col min="13" max="13" width="8.77734375" style="14" hidden="1" customWidth="1"/>
    <col min="14" max="14" width="33.109375" style="14" hidden="1" customWidth="1"/>
    <col min="15" max="20" width="8.77734375" style="14" hidden="1" customWidth="1"/>
    <col min="21" max="21" width="15.44140625" style="14" hidden="1" customWidth="1"/>
    <col min="22" max="26" width="0" style="14" hidden="1" customWidth="1"/>
    <col min="27" max="27" width="14.88671875" style="14" hidden="1" customWidth="1"/>
    <col min="28" max="28" width="0" style="14" hidden="1" customWidth="1"/>
    <col min="29" max="29" width="12.77734375" style="143" hidden="1" customWidth="1"/>
    <col min="30" max="30" width="17.109375" style="143" hidden="1" customWidth="1"/>
    <col min="31" max="31" width="7.33203125" style="143" hidden="1" customWidth="1"/>
    <col min="32" max="32" width="8.5546875" style="143" hidden="1" customWidth="1"/>
    <col min="33" max="33" width="14.88671875" style="143" hidden="1" customWidth="1"/>
    <col min="34" max="34" width="0" style="143" hidden="1" customWidth="1"/>
    <col min="35" max="35" width="15.44140625" style="143" hidden="1" customWidth="1"/>
    <col min="36" max="36" width="10.88671875" style="143" hidden="1" customWidth="1"/>
    <col min="37" max="37" width="0" style="14" hidden="1" customWidth="1"/>
    <col min="38" max="266" width="8.77734375" style="14"/>
    <col min="267" max="267" width="28.88671875" style="14" customWidth="1"/>
    <col min="268" max="268" width="12.21875" style="14" customWidth="1"/>
    <col min="269" max="269" width="12.109375" style="14" customWidth="1"/>
    <col min="270" max="270" width="2.5546875" style="14" customWidth="1"/>
    <col min="271" max="271" width="9" style="14" customWidth="1"/>
    <col min="272" max="272" width="16.44140625" style="14" customWidth="1"/>
    <col min="273" max="273" width="16.33203125" style="14" customWidth="1"/>
    <col min="274" max="522" width="8.77734375" style="14"/>
    <col min="523" max="523" width="28.88671875" style="14" customWidth="1"/>
    <col min="524" max="524" width="12.21875" style="14" customWidth="1"/>
    <col min="525" max="525" width="12.109375" style="14" customWidth="1"/>
    <col min="526" max="526" width="2.5546875" style="14" customWidth="1"/>
    <col min="527" max="527" width="9" style="14" customWidth="1"/>
    <col min="528" max="528" width="16.44140625" style="14" customWidth="1"/>
    <col min="529" max="529" width="16.33203125" style="14" customWidth="1"/>
    <col min="530" max="778" width="8.77734375" style="14"/>
    <col min="779" max="779" width="28.88671875" style="14" customWidth="1"/>
    <col min="780" max="780" width="12.21875" style="14" customWidth="1"/>
    <col min="781" max="781" width="12.109375" style="14" customWidth="1"/>
    <col min="782" max="782" width="2.5546875" style="14" customWidth="1"/>
    <col min="783" max="783" width="9" style="14" customWidth="1"/>
    <col min="784" max="784" width="16.44140625" style="14" customWidth="1"/>
    <col min="785" max="785" width="16.33203125" style="14" customWidth="1"/>
    <col min="786" max="1034" width="8.77734375" style="14"/>
    <col min="1035" max="1035" width="28.88671875" style="14" customWidth="1"/>
    <col min="1036" max="1036" width="12.21875" style="14" customWidth="1"/>
    <col min="1037" max="1037" width="12.109375" style="14" customWidth="1"/>
    <col min="1038" max="1038" width="2.5546875" style="14" customWidth="1"/>
    <col min="1039" max="1039" width="9" style="14" customWidth="1"/>
    <col min="1040" max="1040" width="16.44140625" style="14" customWidth="1"/>
    <col min="1041" max="1041" width="16.33203125" style="14" customWidth="1"/>
    <col min="1042" max="1290" width="8.77734375" style="14"/>
    <col min="1291" max="1291" width="28.88671875" style="14" customWidth="1"/>
    <col min="1292" max="1292" width="12.21875" style="14" customWidth="1"/>
    <col min="1293" max="1293" width="12.109375" style="14" customWidth="1"/>
    <col min="1294" max="1294" width="2.5546875" style="14" customWidth="1"/>
    <col min="1295" max="1295" width="9" style="14" customWidth="1"/>
    <col min="1296" max="1296" width="16.44140625" style="14" customWidth="1"/>
    <col min="1297" max="1297" width="16.33203125" style="14" customWidth="1"/>
    <col min="1298" max="1546" width="8.77734375" style="14"/>
    <col min="1547" max="1547" width="28.88671875" style="14" customWidth="1"/>
    <col min="1548" max="1548" width="12.21875" style="14" customWidth="1"/>
    <col min="1549" max="1549" width="12.109375" style="14" customWidth="1"/>
    <col min="1550" max="1550" width="2.5546875" style="14" customWidth="1"/>
    <col min="1551" max="1551" width="9" style="14" customWidth="1"/>
    <col min="1552" max="1552" width="16.44140625" style="14" customWidth="1"/>
    <col min="1553" max="1553" width="16.33203125" style="14" customWidth="1"/>
    <col min="1554" max="1802" width="8.77734375" style="14"/>
    <col min="1803" max="1803" width="28.88671875" style="14" customWidth="1"/>
    <col min="1804" max="1804" width="12.21875" style="14" customWidth="1"/>
    <col min="1805" max="1805" width="12.109375" style="14" customWidth="1"/>
    <col min="1806" max="1806" width="2.5546875" style="14" customWidth="1"/>
    <col min="1807" max="1807" width="9" style="14" customWidth="1"/>
    <col min="1808" max="1808" width="16.44140625" style="14" customWidth="1"/>
    <col min="1809" max="1809" width="16.33203125" style="14" customWidth="1"/>
    <col min="1810" max="2058" width="8.77734375" style="14"/>
    <col min="2059" max="2059" width="28.88671875" style="14" customWidth="1"/>
    <col min="2060" max="2060" width="12.21875" style="14" customWidth="1"/>
    <col min="2061" max="2061" width="12.109375" style="14" customWidth="1"/>
    <col min="2062" max="2062" width="2.5546875" style="14" customWidth="1"/>
    <col min="2063" max="2063" width="9" style="14" customWidth="1"/>
    <col min="2064" max="2064" width="16.44140625" style="14" customWidth="1"/>
    <col min="2065" max="2065" width="16.33203125" style="14" customWidth="1"/>
    <col min="2066" max="2314" width="8.77734375" style="14"/>
    <col min="2315" max="2315" width="28.88671875" style="14" customWidth="1"/>
    <col min="2316" max="2316" width="12.21875" style="14" customWidth="1"/>
    <col min="2317" max="2317" width="12.109375" style="14" customWidth="1"/>
    <col min="2318" max="2318" width="2.5546875" style="14" customWidth="1"/>
    <col min="2319" max="2319" width="9" style="14" customWidth="1"/>
    <col min="2320" max="2320" width="16.44140625" style="14" customWidth="1"/>
    <col min="2321" max="2321" width="16.33203125" style="14" customWidth="1"/>
    <col min="2322" max="2570" width="8.77734375" style="14"/>
    <col min="2571" max="2571" width="28.88671875" style="14" customWidth="1"/>
    <col min="2572" max="2572" width="12.21875" style="14" customWidth="1"/>
    <col min="2573" max="2573" width="12.109375" style="14" customWidth="1"/>
    <col min="2574" max="2574" width="2.5546875" style="14" customWidth="1"/>
    <col min="2575" max="2575" width="9" style="14" customWidth="1"/>
    <col min="2576" max="2576" width="16.44140625" style="14" customWidth="1"/>
    <col min="2577" max="2577" width="16.33203125" style="14" customWidth="1"/>
    <col min="2578" max="2826" width="8.77734375" style="14"/>
    <col min="2827" max="2827" width="28.88671875" style="14" customWidth="1"/>
    <col min="2828" max="2828" width="12.21875" style="14" customWidth="1"/>
    <col min="2829" max="2829" width="12.109375" style="14" customWidth="1"/>
    <col min="2830" max="2830" width="2.5546875" style="14" customWidth="1"/>
    <col min="2831" max="2831" width="9" style="14" customWidth="1"/>
    <col min="2832" max="2832" width="16.44140625" style="14" customWidth="1"/>
    <col min="2833" max="2833" width="16.33203125" style="14" customWidth="1"/>
    <col min="2834" max="3082" width="8.77734375" style="14"/>
    <col min="3083" max="3083" width="28.88671875" style="14" customWidth="1"/>
    <col min="3084" max="3084" width="12.21875" style="14" customWidth="1"/>
    <col min="3085" max="3085" width="12.109375" style="14" customWidth="1"/>
    <col min="3086" max="3086" width="2.5546875" style="14" customWidth="1"/>
    <col min="3087" max="3087" width="9" style="14" customWidth="1"/>
    <col min="3088" max="3088" width="16.44140625" style="14" customWidth="1"/>
    <col min="3089" max="3089" width="16.33203125" style="14" customWidth="1"/>
    <col min="3090" max="3338" width="8.77734375" style="14"/>
    <col min="3339" max="3339" width="28.88671875" style="14" customWidth="1"/>
    <col min="3340" max="3340" width="12.21875" style="14" customWidth="1"/>
    <col min="3341" max="3341" width="12.109375" style="14" customWidth="1"/>
    <col min="3342" max="3342" width="2.5546875" style="14" customWidth="1"/>
    <col min="3343" max="3343" width="9" style="14" customWidth="1"/>
    <col min="3344" max="3344" width="16.44140625" style="14" customWidth="1"/>
    <col min="3345" max="3345" width="16.33203125" style="14" customWidth="1"/>
    <col min="3346" max="3594" width="8.77734375" style="14"/>
    <col min="3595" max="3595" width="28.88671875" style="14" customWidth="1"/>
    <col min="3596" max="3596" width="12.21875" style="14" customWidth="1"/>
    <col min="3597" max="3597" width="12.109375" style="14" customWidth="1"/>
    <col min="3598" max="3598" width="2.5546875" style="14" customWidth="1"/>
    <col min="3599" max="3599" width="9" style="14" customWidth="1"/>
    <col min="3600" max="3600" width="16.44140625" style="14" customWidth="1"/>
    <col min="3601" max="3601" width="16.33203125" style="14" customWidth="1"/>
    <col min="3602" max="3850" width="8.77734375" style="14"/>
    <col min="3851" max="3851" width="28.88671875" style="14" customWidth="1"/>
    <col min="3852" max="3852" width="12.21875" style="14" customWidth="1"/>
    <col min="3853" max="3853" width="12.109375" style="14" customWidth="1"/>
    <col min="3854" max="3854" width="2.5546875" style="14" customWidth="1"/>
    <col min="3855" max="3855" width="9" style="14" customWidth="1"/>
    <col min="3856" max="3856" width="16.44140625" style="14" customWidth="1"/>
    <col min="3857" max="3857" width="16.33203125" style="14" customWidth="1"/>
    <col min="3858" max="4106" width="8.77734375" style="14"/>
    <col min="4107" max="4107" width="28.88671875" style="14" customWidth="1"/>
    <col min="4108" max="4108" width="12.21875" style="14" customWidth="1"/>
    <col min="4109" max="4109" width="12.109375" style="14" customWidth="1"/>
    <col min="4110" max="4110" width="2.5546875" style="14" customWidth="1"/>
    <col min="4111" max="4111" width="9" style="14" customWidth="1"/>
    <col min="4112" max="4112" width="16.44140625" style="14" customWidth="1"/>
    <col min="4113" max="4113" width="16.33203125" style="14" customWidth="1"/>
    <col min="4114" max="4362" width="8.77734375" style="14"/>
    <col min="4363" max="4363" width="28.88671875" style="14" customWidth="1"/>
    <col min="4364" max="4364" width="12.21875" style="14" customWidth="1"/>
    <col min="4365" max="4365" width="12.109375" style="14" customWidth="1"/>
    <col min="4366" max="4366" width="2.5546875" style="14" customWidth="1"/>
    <col min="4367" max="4367" width="9" style="14" customWidth="1"/>
    <col min="4368" max="4368" width="16.44140625" style="14" customWidth="1"/>
    <col min="4369" max="4369" width="16.33203125" style="14" customWidth="1"/>
    <col min="4370" max="4618" width="8.77734375" style="14"/>
    <col min="4619" max="4619" width="28.88671875" style="14" customWidth="1"/>
    <col min="4620" max="4620" width="12.21875" style="14" customWidth="1"/>
    <col min="4621" max="4621" width="12.109375" style="14" customWidth="1"/>
    <col min="4622" max="4622" width="2.5546875" style="14" customWidth="1"/>
    <col min="4623" max="4623" width="9" style="14" customWidth="1"/>
    <col min="4624" max="4624" width="16.44140625" style="14" customWidth="1"/>
    <col min="4625" max="4625" width="16.33203125" style="14" customWidth="1"/>
    <col min="4626" max="4874" width="8.77734375" style="14"/>
    <col min="4875" max="4875" width="28.88671875" style="14" customWidth="1"/>
    <col min="4876" max="4876" width="12.21875" style="14" customWidth="1"/>
    <col min="4877" max="4877" width="12.109375" style="14" customWidth="1"/>
    <col min="4878" max="4878" width="2.5546875" style="14" customWidth="1"/>
    <col min="4879" max="4879" width="9" style="14" customWidth="1"/>
    <col min="4880" max="4880" width="16.44140625" style="14" customWidth="1"/>
    <col min="4881" max="4881" width="16.33203125" style="14" customWidth="1"/>
    <col min="4882" max="5130" width="8.77734375" style="14"/>
    <col min="5131" max="5131" width="28.88671875" style="14" customWidth="1"/>
    <col min="5132" max="5132" width="12.21875" style="14" customWidth="1"/>
    <col min="5133" max="5133" width="12.109375" style="14" customWidth="1"/>
    <col min="5134" max="5134" width="2.5546875" style="14" customWidth="1"/>
    <col min="5135" max="5135" width="9" style="14" customWidth="1"/>
    <col min="5136" max="5136" width="16.44140625" style="14" customWidth="1"/>
    <col min="5137" max="5137" width="16.33203125" style="14" customWidth="1"/>
    <col min="5138" max="5386" width="8.77734375" style="14"/>
    <col min="5387" max="5387" width="28.88671875" style="14" customWidth="1"/>
    <col min="5388" max="5388" width="12.21875" style="14" customWidth="1"/>
    <col min="5389" max="5389" width="12.109375" style="14" customWidth="1"/>
    <col min="5390" max="5390" width="2.5546875" style="14" customWidth="1"/>
    <col min="5391" max="5391" width="9" style="14" customWidth="1"/>
    <col min="5392" max="5392" width="16.44140625" style="14" customWidth="1"/>
    <col min="5393" max="5393" width="16.33203125" style="14" customWidth="1"/>
    <col min="5394" max="5642" width="8.77734375" style="14"/>
    <col min="5643" max="5643" width="28.88671875" style="14" customWidth="1"/>
    <col min="5644" max="5644" width="12.21875" style="14" customWidth="1"/>
    <col min="5645" max="5645" width="12.109375" style="14" customWidth="1"/>
    <col min="5646" max="5646" width="2.5546875" style="14" customWidth="1"/>
    <col min="5647" max="5647" width="9" style="14" customWidth="1"/>
    <col min="5648" max="5648" width="16.44140625" style="14" customWidth="1"/>
    <col min="5649" max="5649" width="16.33203125" style="14" customWidth="1"/>
    <col min="5650" max="5898" width="8.77734375" style="14"/>
    <col min="5899" max="5899" width="28.88671875" style="14" customWidth="1"/>
    <col min="5900" max="5900" width="12.21875" style="14" customWidth="1"/>
    <col min="5901" max="5901" width="12.109375" style="14" customWidth="1"/>
    <col min="5902" max="5902" width="2.5546875" style="14" customWidth="1"/>
    <col min="5903" max="5903" width="9" style="14" customWidth="1"/>
    <col min="5904" max="5904" width="16.44140625" style="14" customWidth="1"/>
    <col min="5905" max="5905" width="16.33203125" style="14" customWidth="1"/>
    <col min="5906" max="6154" width="8.77734375" style="14"/>
    <col min="6155" max="6155" width="28.88671875" style="14" customWidth="1"/>
    <col min="6156" max="6156" width="12.21875" style="14" customWidth="1"/>
    <col min="6157" max="6157" width="12.109375" style="14" customWidth="1"/>
    <col min="6158" max="6158" width="2.5546875" style="14" customWidth="1"/>
    <col min="6159" max="6159" width="9" style="14" customWidth="1"/>
    <col min="6160" max="6160" width="16.44140625" style="14" customWidth="1"/>
    <col min="6161" max="6161" width="16.33203125" style="14" customWidth="1"/>
    <col min="6162" max="6410" width="8.77734375" style="14"/>
    <col min="6411" max="6411" width="28.88671875" style="14" customWidth="1"/>
    <col min="6412" max="6412" width="12.21875" style="14" customWidth="1"/>
    <col min="6413" max="6413" width="12.109375" style="14" customWidth="1"/>
    <col min="6414" max="6414" width="2.5546875" style="14" customWidth="1"/>
    <col min="6415" max="6415" width="9" style="14" customWidth="1"/>
    <col min="6416" max="6416" width="16.44140625" style="14" customWidth="1"/>
    <col min="6417" max="6417" width="16.33203125" style="14" customWidth="1"/>
    <col min="6418" max="6666" width="8.77734375" style="14"/>
    <col min="6667" max="6667" width="28.88671875" style="14" customWidth="1"/>
    <col min="6668" max="6668" width="12.21875" style="14" customWidth="1"/>
    <col min="6669" max="6669" width="12.109375" style="14" customWidth="1"/>
    <col min="6670" max="6670" width="2.5546875" style="14" customWidth="1"/>
    <col min="6671" max="6671" width="9" style="14" customWidth="1"/>
    <col min="6672" max="6672" width="16.44140625" style="14" customWidth="1"/>
    <col min="6673" max="6673" width="16.33203125" style="14" customWidth="1"/>
    <col min="6674" max="6922" width="8.77734375" style="14"/>
    <col min="6923" max="6923" width="28.88671875" style="14" customWidth="1"/>
    <col min="6924" max="6924" width="12.21875" style="14" customWidth="1"/>
    <col min="6925" max="6925" width="12.109375" style="14" customWidth="1"/>
    <col min="6926" max="6926" width="2.5546875" style="14" customWidth="1"/>
    <col min="6927" max="6927" width="9" style="14" customWidth="1"/>
    <col min="6928" max="6928" width="16.44140625" style="14" customWidth="1"/>
    <col min="6929" max="6929" width="16.33203125" style="14" customWidth="1"/>
    <col min="6930" max="7178" width="8.77734375" style="14"/>
    <col min="7179" max="7179" width="28.88671875" style="14" customWidth="1"/>
    <col min="7180" max="7180" width="12.21875" style="14" customWidth="1"/>
    <col min="7181" max="7181" width="12.109375" style="14" customWidth="1"/>
    <col min="7182" max="7182" width="2.5546875" style="14" customWidth="1"/>
    <col min="7183" max="7183" width="9" style="14" customWidth="1"/>
    <col min="7184" max="7184" width="16.44140625" style="14" customWidth="1"/>
    <col min="7185" max="7185" width="16.33203125" style="14" customWidth="1"/>
    <col min="7186" max="7434" width="8.77734375" style="14"/>
    <col min="7435" max="7435" width="28.88671875" style="14" customWidth="1"/>
    <col min="7436" max="7436" width="12.21875" style="14" customWidth="1"/>
    <col min="7437" max="7437" width="12.109375" style="14" customWidth="1"/>
    <col min="7438" max="7438" width="2.5546875" style="14" customWidth="1"/>
    <col min="7439" max="7439" width="9" style="14" customWidth="1"/>
    <col min="7440" max="7440" width="16.44140625" style="14" customWidth="1"/>
    <col min="7441" max="7441" width="16.33203125" style="14" customWidth="1"/>
    <col min="7442" max="7690" width="8.77734375" style="14"/>
    <col min="7691" max="7691" width="28.88671875" style="14" customWidth="1"/>
    <col min="7692" max="7692" width="12.21875" style="14" customWidth="1"/>
    <col min="7693" max="7693" width="12.109375" style="14" customWidth="1"/>
    <col min="7694" max="7694" width="2.5546875" style="14" customWidth="1"/>
    <col min="7695" max="7695" width="9" style="14" customWidth="1"/>
    <col min="7696" max="7696" width="16.44140625" style="14" customWidth="1"/>
    <col min="7697" max="7697" width="16.33203125" style="14" customWidth="1"/>
    <col min="7698" max="7946" width="8.77734375" style="14"/>
    <col min="7947" max="7947" width="28.88671875" style="14" customWidth="1"/>
    <col min="7948" max="7948" width="12.21875" style="14" customWidth="1"/>
    <col min="7949" max="7949" width="12.109375" style="14" customWidth="1"/>
    <col min="7950" max="7950" width="2.5546875" style="14" customWidth="1"/>
    <col min="7951" max="7951" width="9" style="14" customWidth="1"/>
    <col min="7952" max="7952" width="16.44140625" style="14" customWidth="1"/>
    <col min="7953" max="7953" width="16.33203125" style="14" customWidth="1"/>
    <col min="7954" max="8202" width="8.77734375" style="14"/>
    <col min="8203" max="8203" width="28.88671875" style="14" customWidth="1"/>
    <col min="8204" max="8204" width="12.21875" style="14" customWidth="1"/>
    <col min="8205" max="8205" width="12.109375" style="14" customWidth="1"/>
    <col min="8206" max="8206" width="2.5546875" style="14" customWidth="1"/>
    <col min="8207" max="8207" width="9" style="14" customWidth="1"/>
    <col min="8208" max="8208" width="16.44140625" style="14" customWidth="1"/>
    <col min="8209" max="8209" width="16.33203125" style="14" customWidth="1"/>
    <col min="8210" max="8458" width="8.77734375" style="14"/>
    <col min="8459" max="8459" width="28.88671875" style="14" customWidth="1"/>
    <col min="8460" max="8460" width="12.21875" style="14" customWidth="1"/>
    <col min="8461" max="8461" width="12.109375" style="14" customWidth="1"/>
    <col min="8462" max="8462" width="2.5546875" style="14" customWidth="1"/>
    <col min="8463" max="8463" width="9" style="14" customWidth="1"/>
    <col min="8464" max="8464" width="16.44140625" style="14" customWidth="1"/>
    <col min="8465" max="8465" width="16.33203125" style="14" customWidth="1"/>
    <col min="8466" max="8714" width="8.77734375" style="14"/>
    <col min="8715" max="8715" width="28.88671875" style="14" customWidth="1"/>
    <col min="8716" max="8716" width="12.21875" style="14" customWidth="1"/>
    <col min="8717" max="8717" width="12.109375" style="14" customWidth="1"/>
    <col min="8718" max="8718" width="2.5546875" style="14" customWidth="1"/>
    <col min="8719" max="8719" width="9" style="14" customWidth="1"/>
    <col min="8720" max="8720" width="16.44140625" style="14" customWidth="1"/>
    <col min="8721" max="8721" width="16.33203125" style="14" customWidth="1"/>
    <col min="8722" max="8970" width="8.77734375" style="14"/>
    <col min="8971" max="8971" width="28.88671875" style="14" customWidth="1"/>
    <col min="8972" max="8972" width="12.21875" style="14" customWidth="1"/>
    <col min="8973" max="8973" width="12.109375" style="14" customWidth="1"/>
    <col min="8974" max="8974" width="2.5546875" style="14" customWidth="1"/>
    <col min="8975" max="8975" width="9" style="14" customWidth="1"/>
    <col min="8976" max="8976" width="16.44140625" style="14" customWidth="1"/>
    <col min="8977" max="8977" width="16.33203125" style="14" customWidth="1"/>
    <col min="8978" max="9226" width="8.77734375" style="14"/>
    <col min="9227" max="9227" width="28.88671875" style="14" customWidth="1"/>
    <col min="9228" max="9228" width="12.21875" style="14" customWidth="1"/>
    <col min="9229" max="9229" width="12.109375" style="14" customWidth="1"/>
    <col min="9230" max="9230" width="2.5546875" style="14" customWidth="1"/>
    <col min="9231" max="9231" width="9" style="14" customWidth="1"/>
    <col min="9232" max="9232" width="16.44140625" style="14" customWidth="1"/>
    <col min="9233" max="9233" width="16.33203125" style="14" customWidth="1"/>
    <col min="9234" max="9482" width="8.77734375" style="14"/>
    <col min="9483" max="9483" width="28.88671875" style="14" customWidth="1"/>
    <col min="9484" max="9484" width="12.21875" style="14" customWidth="1"/>
    <col min="9485" max="9485" width="12.109375" style="14" customWidth="1"/>
    <col min="9486" max="9486" width="2.5546875" style="14" customWidth="1"/>
    <col min="9487" max="9487" width="9" style="14" customWidth="1"/>
    <col min="9488" max="9488" width="16.44140625" style="14" customWidth="1"/>
    <col min="9489" max="9489" width="16.33203125" style="14" customWidth="1"/>
    <col min="9490" max="9738" width="8.77734375" style="14"/>
    <col min="9739" max="9739" width="28.88671875" style="14" customWidth="1"/>
    <col min="9740" max="9740" width="12.21875" style="14" customWidth="1"/>
    <col min="9741" max="9741" width="12.109375" style="14" customWidth="1"/>
    <col min="9742" max="9742" width="2.5546875" style="14" customWidth="1"/>
    <col min="9743" max="9743" width="9" style="14" customWidth="1"/>
    <col min="9744" max="9744" width="16.44140625" style="14" customWidth="1"/>
    <col min="9745" max="9745" width="16.33203125" style="14" customWidth="1"/>
    <col min="9746" max="9994" width="8.77734375" style="14"/>
    <col min="9995" max="9995" width="28.88671875" style="14" customWidth="1"/>
    <col min="9996" max="9996" width="12.21875" style="14" customWidth="1"/>
    <col min="9997" max="9997" width="12.109375" style="14" customWidth="1"/>
    <col min="9998" max="9998" width="2.5546875" style="14" customWidth="1"/>
    <col min="9999" max="9999" width="9" style="14" customWidth="1"/>
    <col min="10000" max="10000" width="16.44140625" style="14" customWidth="1"/>
    <col min="10001" max="10001" width="16.33203125" style="14" customWidth="1"/>
    <col min="10002" max="10250" width="8.77734375" style="14"/>
    <col min="10251" max="10251" width="28.88671875" style="14" customWidth="1"/>
    <col min="10252" max="10252" width="12.21875" style="14" customWidth="1"/>
    <col min="10253" max="10253" width="12.109375" style="14" customWidth="1"/>
    <col min="10254" max="10254" width="2.5546875" style="14" customWidth="1"/>
    <col min="10255" max="10255" width="9" style="14" customWidth="1"/>
    <col min="10256" max="10256" width="16.44140625" style="14" customWidth="1"/>
    <col min="10257" max="10257" width="16.33203125" style="14" customWidth="1"/>
    <col min="10258" max="10506" width="8.77734375" style="14"/>
    <col min="10507" max="10507" width="28.88671875" style="14" customWidth="1"/>
    <col min="10508" max="10508" width="12.21875" style="14" customWidth="1"/>
    <col min="10509" max="10509" width="12.109375" style="14" customWidth="1"/>
    <col min="10510" max="10510" width="2.5546875" style="14" customWidth="1"/>
    <col min="10511" max="10511" width="9" style="14" customWidth="1"/>
    <col min="10512" max="10512" width="16.44140625" style="14" customWidth="1"/>
    <col min="10513" max="10513" width="16.33203125" style="14" customWidth="1"/>
    <col min="10514" max="10762" width="8.77734375" style="14"/>
    <col min="10763" max="10763" width="28.88671875" style="14" customWidth="1"/>
    <col min="10764" max="10764" width="12.21875" style="14" customWidth="1"/>
    <col min="10765" max="10765" width="12.109375" style="14" customWidth="1"/>
    <col min="10766" max="10766" width="2.5546875" style="14" customWidth="1"/>
    <col min="10767" max="10767" width="9" style="14" customWidth="1"/>
    <col min="10768" max="10768" width="16.44140625" style="14" customWidth="1"/>
    <col min="10769" max="10769" width="16.33203125" style="14" customWidth="1"/>
    <col min="10770" max="11018" width="8.77734375" style="14"/>
    <col min="11019" max="11019" width="28.88671875" style="14" customWidth="1"/>
    <col min="11020" max="11020" width="12.21875" style="14" customWidth="1"/>
    <col min="11021" max="11021" width="12.109375" style="14" customWidth="1"/>
    <col min="11022" max="11022" width="2.5546875" style="14" customWidth="1"/>
    <col min="11023" max="11023" width="9" style="14" customWidth="1"/>
    <col min="11024" max="11024" width="16.44140625" style="14" customWidth="1"/>
    <col min="11025" max="11025" width="16.33203125" style="14" customWidth="1"/>
    <col min="11026" max="11274" width="8.77734375" style="14"/>
    <col min="11275" max="11275" width="28.88671875" style="14" customWidth="1"/>
    <col min="11276" max="11276" width="12.21875" style="14" customWidth="1"/>
    <col min="11277" max="11277" width="12.109375" style="14" customWidth="1"/>
    <col min="11278" max="11278" width="2.5546875" style="14" customWidth="1"/>
    <col min="11279" max="11279" width="9" style="14" customWidth="1"/>
    <col min="11280" max="11280" width="16.44140625" style="14" customWidth="1"/>
    <col min="11281" max="11281" width="16.33203125" style="14" customWidth="1"/>
    <col min="11282" max="11530" width="8.77734375" style="14"/>
    <col min="11531" max="11531" width="28.88671875" style="14" customWidth="1"/>
    <col min="11532" max="11532" width="12.21875" style="14" customWidth="1"/>
    <col min="11533" max="11533" width="12.109375" style="14" customWidth="1"/>
    <col min="11534" max="11534" width="2.5546875" style="14" customWidth="1"/>
    <col min="11535" max="11535" width="9" style="14" customWidth="1"/>
    <col min="11536" max="11536" width="16.44140625" style="14" customWidth="1"/>
    <col min="11537" max="11537" width="16.33203125" style="14" customWidth="1"/>
    <col min="11538" max="11786" width="8.77734375" style="14"/>
    <col min="11787" max="11787" width="28.88671875" style="14" customWidth="1"/>
    <col min="11788" max="11788" width="12.21875" style="14" customWidth="1"/>
    <col min="11789" max="11789" width="12.109375" style="14" customWidth="1"/>
    <col min="11790" max="11790" width="2.5546875" style="14" customWidth="1"/>
    <col min="11791" max="11791" width="9" style="14" customWidth="1"/>
    <col min="11792" max="11792" width="16.44140625" style="14" customWidth="1"/>
    <col min="11793" max="11793" width="16.33203125" style="14" customWidth="1"/>
    <col min="11794" max="12042" width="8.77734375" style="14"/>
    <col min="12043" max="12043" width="28.88671875" style="14" customWidth="1"/>
    <col min="12044" max="12044" width="12.21875" style="14" customWidth="1"/>
    <col min="12045" max="12045" width="12.109375" style="14" customWidth="1"/>
    <col min="12046" max="12046" width="2.5546875" style="14" customWidth="1"/>
    <col min="12047" max="12047" width="9" style="14" customWidth="1"/>
    <col min="12048" max="12048" width="16.44140625" style="14" customWidth="1"/>
    <col min="12049" max="12049" width="16.33203125" style="14" customWidth="1"/>
    <col min="12050" max="12298" width="8.77734375" style="14"/>
    <col min="12299" max="12299" width="28.88671875" style="14" customWidth="1"/>
    <col min="12300" max="12300" width="12.21875" style="14" customWidth="1"/>
    <col min="12301" max="12301" width="12.109375" style="14" customWidth="1"/>
    <col min="12302" max="12302" width="2.5546875" style="14" customWidth="1"/>
    <col min="12303" max="12303" width="9" style="14" customWidth="1"/>
    <col min="12304" max="12304" width="16.44140625" style="14" customWidth="1"/>
    <col min="12305" max="12305" width="16.33203125" style="14" customWidth="1"/>
    <col min="12306" max="12554" width="8.77734375" style="14"/>
    <col min="12555" max="12555" width="28.88671875" style="14" customWidth="1"/>
    <col min="12556" max="12556" width="12.21875" style="14" customWidth="1"/>
    <col min="12557" max="12557" width="12.109375" style="14" customWidth="1"/>
    <col min="12558" max="12558" width="2.5546875" style="14" customWidth="1"/>
    <col min="12559" max="12559" width="9" style="14" customWidth="1"/>
    <col min="12560" max="12560" width="16.44140625" style="14" customWidth="1"/>
    <col min="12561" max="12561" width="16.33203125" style="14" customWidth="1"/>
    <col min="12562" max="12810" width="8.77734375" style="14"/>
    <col min="12811" max="12811" width="28.88671875" style="14" customWidth="1"/>
    <col min="12812" max="12812" width="12.21875" style="14" customWidth="1"/>
    <col min="12813" max="12813" width="12.109375" style="14" customWidth="1"/>
    <col min="12814" max="12814" width="2.5546875" style="14" customWidth="1"/>
    <col min="12815" max="12815" width="9" style="14" customWidth="1"/>
    <col min="12816" max="12816" width="16.44140625" style="14" customWidth="1"/>
    <col min="12817" max="12817" width="16.33203125" style="14" customWidth="1"/>
    <col min="12818" max="13066" width="8.77734375" style="14"/>
    <col min="13067" max="13067" width="28.88671875" style="14" customWidth="1"/>
    <col min="13068" max="13068" width="12.21875" style="14" customWidth="1"/>
    <col min="13069" max="13069" width="12.109375" style="14" customWidth="1"/>
    <col min="13070" max="13070" width="2.5546875" style="14" customWidth="1"/>
    <col min="13071" max="13071" width="9" style="14" customWidth="1"/>
    <col min="13072" max="13072" width="16.44140625" style="14" customWidth="1"/>
    <col min="13073" max="13073" width="16.33203125" style="14" customWidth="1"/>
    <col min="13074" max="13322" width="8.77734375" style="14"/>
    <col min="13323" max="13323" width="28.88671875" style="14" customWidth="1"/>
    <col min="13324" max="13324" width="12.21875" style="14" customWidth="1"/>
    <col min="13325" max="13325" width="12.109375" style="14" customWidth="1"/>
    <col min="13326" max="13326" width="2.5546875" style="14" customWidth="1"/>
    <col min="13327" max="13327" width="9" style="14" customWidth="1"/>
    <col min="13328" max="13328" width="16.44140625" style="14" customWidth="1"/>
    <col min="13329" max="13329" width="16.33203125" style="14" customWidth="1"/>
    <col min="13330" max="13578" width="8.77734375" style="14"/>
    <col min="13579" max="13579" width="28.88671875" style="14" customWidth="1"/>
    <col min="13580" max="13580" width="12.21875" style="14" customWidth="1"/>
    <col min="13581" max="13581" width="12.109375" style="14" customWidth="1"/>
    <col min="13582" max="13582" width="2.5546875" style="14" customWidth="1"/>
    <col min="13583" max="13583" width="9" style="14" customWidth="1"/>
    <col min="13584" max="13584" width="16.44140625" style="14" customWidth="1"/>
    <col min="13585" max="13585" width="16.33203125" style="14" customWidth="1"/>
    <col min="13586" max="13834" width="8.77734375" style="14"/>
    <col min="13835" max="13835" width="28.88671875" style="14" customWidth="1"/>
    <col min="13836" max="13836" width="12.21875" style="14" customWidth="1"/>
    <col min="13837" max="13837" width="12.109375" style="14" customWidth="1"/>
    <col min="13838" max="13838" width="2.5546875" style="14" customWidth="1"/>
    <col min="13839" max="13839" width="9" style="14" customWidth="1"/>
    <col min="13840" max="13840" width="16.44140625" style="14" customWidth="1"/>
    <col min="13841" max="13841" width="16.33203125" style="14" customWidth="1"/>
    <col min="13842" max="14090" width="8.77734375" style="14"/>
    <col min="14091" max="14091" width="28.88671875" style="14" customWidth="1"/>
    <col min="14092" max="14092" width="12.21875" style="14" customWidth="1"/>
    <col min="14093" max="14093" width="12.109375" style="14" customWidth="1"/>
    <col min="14094" max="14094" width="2.5546875" style="14" customWidth="1"/>
    <col min="14095" max="14095" width="9" style="14" customWidth="1"/>
    <col min="14096" max="14096" width="16.44140625" style="14" customWidth="1"/>
    <col min="14097" max="14097" width="16.33203125" style="14" customWidth="1"/>
    <col min="14098" max="14346" width="8.77734375" style="14"/>
    <col min="14347" max="14347" width="28.88671875" style="14" customWidth="1"/>
    <col min="14348" max="14348" width="12.21875" style="14" customWidth="1"/>
    <col min="14349" max="14349" width="12.109375" style="14" customWidth="1"/>
    <col min="14350" max="14350" width="2.5546875" style="14" customWidth="1"/>
    <col min="14351" max="14351" width="9" style="14" customWidth="1"/>
    <col min="14352" max="14352" width="16.44140625" style="14" customWidth="1"/>
    <col min="14353" max="14353" width="16.33203125" style="14" customWidth="1"/>
    <col min="14354" max="14602" width="8.77734375" style="14"/>
    <col min="14603" max="14603" width="28.88671875" style="14" customWidth="1"/>
    <col min="14604" max="14604" width="12.21875" style="14" customWidth="1"/>
    <col min="14605" max="14605" width="12.109375" style="14" customWidth="1"/>
    <col min="14606" max="14606" width="2.5546875" style="14" customWidth="1"/>
    <col min="14607" max="14607" width="9" style="14" customWidth="1"/>
    <col min="14608" max="14608" width="16.44140625" style="14" customWidth="1"/>
    <col min="14609" max="14609" width="16.33203125" style="14" customWidth="1"/>
    <col min="14610" max="14858" width="8.77734375" style="14"/>
    <col min="14859" max="14859" width="28.88671875" style="14" customWidth="1"/>
    <col min="14860" max="14860" width="12.21875" style="14" customWidth="1"/>
    <col min="14861" max="14861" width="12.109375" style="14" customWidth="1"/>
    <col min="14862" max="14862" width="2.5546875" style="14" customWidth="1"/>
    <col min="14863" max="14863" width="9" style="14" customWidth="1"/>
    <col min="14864" max="14864" width="16.44140625" style="14" customWidth="1"/>
    <col min="14865" max="14865" width="16.33203125" style="14" customWidth="1"/>
    <col min="14866" max="15114" width="8.77734375" style="14"/>
    <col min="15115" max="15115" width="28.88671875" style="14" customWidth="1"/>
    <col min="15116" max="15116" width="12.21875" style="14" customWidth="1"/>
    <col min="15117" max="15117" width="12.109375" style="14" customWidth="1"/>
    <col min="15118" max="15118" width="2.5546875" style="14" customWidth="1"/>
    <col min="15119" max="15119" width="9" style="14" customWidth="1"/>
    <col min="15120" max="15120" width="16.44140625" style="14" customWidth="1"/>
    <col min="15121" max="15121" width="16.33203125" style="14" customWidth="1"/>
    <col min="15122" max="15370" width="8.77734375" style="14"/>
    <col min="15371" max="15371" width="28.88671875" style="14" customWidth="1"/>
    <col min="15372" max="15372" width="12.21875" style="14" customWidth="1"/>
    <col min="15373" max="15373" width="12.109375" style="14" customWidth="1"/>
    <col min="15374" max="15374" width="2.5546875" style="14" customWidth="1"/>
    <col min="15375" max="15375" width="9" style="14" customWidth="1"/>
    <col min="15376" max="15376" width="16.44140625" style="14" customWidth="1"/>
    <col min="15377" max="15377" width="16.33203125" style="14" customWidth="1"/>
    <col min="15378" max="15626" width="8.77734375" style="14"/>
    <col min="15627" max="15627" width="28.88671875" style="14" customWidth="1"/>
    <col min="15628" max="15628" width="12.21875" style="14" customWidth="1"/>
    <col min="15629" max="15629" width="12.109375" style="14" customWidth="1"/>
    <col min="15630" max="15630" width="2.5546875" style="14" customWidth="1"/>
    <col min="15631" max="15631" width="9" style="14" customWidth="1"/>
    <col min="15632" max="15632" width="16.44140625" style="14" customWidth="1"/>
    <col min="15633" max="15633" width="16.33203125" style="14" customWidth="1"/>
    <col min="15634" max="15882" width="8.77734375" style="14"/>
    <col min="15883" max="15883" width="28.88671875" style="14" customWidth="1"/>
    <col min="15884" max="15884" width="12.21875" style="14" customWidth="1"/>
    <col min="15885" max="15885" width="12.109375" style="14" customWidth="1"/>
    <col min="15886" max="15886" width="2.5546875" style="14" customWidth="1"/>
    <col min="15887" max="15887" width="9" style="14" customWidth="1"/>
    <col min="15888" max="15888" width="16.44140625" style="14" customWidth="1"/>
    <col min="15889" max="15889" width="16.33203125" style="14" customWidth="1"/>
    <col min="15890" max="16138" width="8.77734375" style="14"/>
    <col min="16139" max="16139" width="28.88671875" style="14" customWidth="1"/>
    <col min="16140" max="16140" width="12.21875" style="14" customWidth="1"/>
    <col min="16141" max="16141" width="12.109375" style="14" customWidth="1"/>
    <col min="16142" max="16142" width="2.5546875" style="14" customWidth="1"/>
    <col min="16143" max="16143" width="9" style="14" customWidth="1"/>
    <col min="16144" max="16144" width="16.44140625" style="14" customWidth="1"/>
    <col min="16145" max="16145" width="16.33203125" style="14" customWidth="1"/>
    <col min="16146" max="16384" width="8.77734375" style="14"/>
  </cols>
  <sheetData>
    <row r="1" spans="1:36" s="11" customFormat="1" ht="14.4" thickBot="1" x14ac:dyDescent="0.3">
      <c r="A1" s="10"/>
      <c r="B1" s="10"/>
      <c r="C1" s="10"/>
      <c r="D1" s="10"/>
      <c r="E1" s="10"/>
      <c r="F1" s="10"/>
      <c r="G1" s="10"/>
      <c r="H1" s="10"/>
      <c r="I1" s="10"/>
      <c r="J1" s="10"/>
      <c r="K1" s="10"/>
      <c r="L1" s="10"/>
      <c r="M1" s="11" t="s">
        <v>19</v>
      </c>
      <c r="AC1" s="12"/>
      <c r="AD1" s="12"/>
      <c r="AE1" s="12"/>
      <c r="AF1" s="12"/>
      <c r="AG1" s="12"/>
      <c r="AH1" s="369"/>
      <c r="AI1" s="369"/>
      <c r="AJ1" s="369"/>
    </row>
    <row r="2" spans="1:36" ht="34.799999999999997" customHeight="1" x14ac:dyDescent="0.3">
      <c r="A2" s="370" t="str">
        <f>IF(A10="Trust","BUDGET UTILIZATION REQUEST AND STATUS ","OBLIGATION REQUEST AND STATUS")</f>
        <v>OBLIGATION REQUEST AND STATUS</v>
      </c>
      <c r="B2" s="371"/>
      <c r="C2" s="371"/>
      <c r="D2" s="371"/>
      <c r="E2" s="371"/>
      <c r="F2" s="371"/>
      <c r="G2" s="371"/>
      <c r="H2" s="371"/>
      <c r="I2" s="371"/>
      <c r="J2" s="13" t="s">
        <v>20</v>
      </c>
      <c r="K2" s="372"/>
      <c r="L2" s="373"/>
      <c r="O2" s="14" t="s">
        <v>21</v>
      </c>
      <c r="P2" s="14" t="s">
        <v>22</v>
      </c>
      <c r="Q2" s="14" t="s">
        <v>23</v>
      </c>
      <c r="U2" s="15" t="s">
        <v>24</v>
      </c>
      <c r="V2" s="16" t="s">
        <v>25</v>
      </c>
      <c r="W2" s="16" t="s">
        <v>26</v>
      </c>
      <c r="X2" s="16" t="s">
        <v>27</v>
      </c>
      <c r="Y2" s="16" t="s">
        <v>28</v>
      </c>
      <c r="Z2" s="16" t="s">
        <v>29</v>
      </c>
      <c r="AA2" s="17" t="s">
        <v>30</v>
      </c>
      <c r="AC2" s="374" t="s">
        <v>31</v>
      </c>
      <c r="AD2" s="375"/>
      <c r="AE2" s="375"/>
      <c r="AF2" s="375"/>
      <c r="AG2" s="375"/>
      <c r="AH2" s="378" t="s">
        <v>32</v>
      </c>
      <c r="AI2" s="379"/>
      <c r="AJ2" s="380"/>
    </row>
    <row r="3" spans="1:36" ht="15.45" customHeight="1" x14ac:dyDescent="0.25">
      <c r="A3" s="381" t="str">
        <f>IF(A10="RDC","REGIONAL DEVELOPMENT COUNCIL 5","NATIONAL ECONOMIC AND DEVELOPMENT AUTHORITY 5")</f>
        <v>REGIONAL DEVELOPMENT COUNCIL 5</v>
      </c>
      <c r="B3" s="382"/>
      <c r="C3" s="382"/>
      <c r="D3" s="382"/>
      <c r="E3" s="382"/>
      <c r="F3" s="382"/>
      <c r="G3" s="382"/>
      <c r="H3" s="382"/>
      <c r="I3" s="383"/>
      <c r="J3" s="18" t="s">
        <v>33</v>
      </c>
      <c r="K3" s="384" t="str">
        <f>TOI!C30</f>
        <v>September 17,2025</v>
      </c>
      <c r="L3" s="385"/>
      <c r="M3" s="14" t="s">
        <v>21</v>
      </c>
      <c r="N3" s="19" t="s">
        <v>34</v>
      </c>
      <c r="O3" s="19" t="s">
        <v>35</v>
      </c>
      <c r="P3" s="19" t="s">
        <v>36</v>
      </c>
      <c r="Q3" s="19" t="s">
        <v>35</v>
      </c>
      <c r="U3" s="20" t="str">
        <f>K3</f>
        <v>September 17,2025</v>
      </c>
      <c r="V3" s="21" t="str">
        <f>D5</f>
        <v>Ronaldo B. Bañas</v>
      </c>
      <c r="W3" s="14" t="str">
        <f>A10</f>
        <v>RDC</v>
      </c>
      <c r="X3" s="14" t="str">
        <f>D10</f>
        <v>Travel allowance for the following purpose:</v>
      </c>
      <c r="Y3" s="14" t="str">
        <f>I10</f>
        <v>RDC 310100100003000</v>
      </c>
      <c r="Z3" s="14" t="str">
        <f t="shared" ref="Z3:AA14" si="0">J10</f>
        <v>Traveling Expenses-local 50201010 00</v>
      </c>
      <c r="AA3" s="22">
        <f t="shared" si="0"/>
        <v>3750</v>
      </c>
      <c r="AC3" s="376"/>
      <c r="AD3" s="377"/>
      <c r="AE3" s="377"/>
      <c r="AF3" s="377"/>
      <c r="AG3" s="377"/>
      <c r="AH3" s="23"/>
      <c r="AI3" s="24"/>
      <c r="AJ3" s="25"/>
    </row>
    <row r="4" spans="1:36" ht="14.4" thickBot="1" x14ac:dyDescent="0.3">
      <c r="A4" s="381" t="s">
        <v>37</v>
      </c>
      <c r="B4" s="382"/>
      <c r="C4" s="382"/>
      <c r="D4" s="382"/>
      <c r="E4" s="382"/>
      <c r="F4" s="382"/>
      <c r="G4" s="382"/>
      <c r="H4" s="382"/>
      <c r="I4" s="383"/>
      <c r="J4" s="26" t="s">
        <v>38</v>
      </c>
      <c r="K4" s="27" t="s">
        <v>39</v>
      </c>
      <c r="L4" s="28" t="s">
        <v>40</v>
      </c>
      <c r="M4" s="14" t="s">
        <v>22</v>
      </c>
      <c r="N4" s="19" t="s">
        <v>41</v>
      </c>
      <c r="O4" s="19" t="s">
        <v>42</v>
      </c>
      <c r="P4" s="19" t="s">
        <v>43</v>
      </c>
      <c r="U4" s="29"/>
      <c r="Y4" s="14">
        <f t="shared" ref="Y4:Y14" si="1">I11</f>
        <v>0</v>
      </c>
      <c r="Z4" s="14">
        <f t="shared" si="0"/>
        <v>0</v>
      </c>
      <c r="AA4" s="22">
        <f t="shared" si="0"/>
        <v>0</v>
      </c>
      <c r="AC4" s="30" t="s">
        <v>44</v>
      </c>
      <c r="AD4" s="31" t="e">
        <f>#REF!</f>
        <v>#REF!</v>
      </c>
      <c r="AE4" s="32"/>
      <c r="AF4" s="32"/>
      <c r="AG4" s="32"/>
      <c r="AH4" s="33" t="s">
        <v>33</v>
      </c>
      <c r="AI4" s="34" t="str">
        <f>K3</f>
        <v>September 17,2025</v>
      </c>
      <c r="AJ4" s="35"/>
    </row>
    <row r="5" spans="1:36" ht="16.5" customHeight="1" thickBot="1" x14ac:dyDescent="0.35">
      <c r="A5" s="409" t="s">
        <v>25</v>
      </c>
      <c r="B5" s="410"/>
      <c r="C5" s="411"/>
      <c r="D5" s="412" t="str">
        <f>TOI!B6</f>
        <v>Ronaldo B. Bañas</v>
      </c>
      <c r="E5" s="413"/>
      <c r="F5" s="413"/>
      <c r="G5" s="413"/>
      <c r="H5" s="413"/>
      <c r="I5" s="413"/>
      <c r="J5" s="414"/>
      <c r="K5" s="36"/>
      <c r="L5" s="37"/>
      <c r="M5" s="14" t="s">
        <v>23</v>
      </c>
      <c r="N5" s="19" t="s">
        <v>45</v>
      </c>
      <c r="O5" s="19" t="s">
        <v>46</v>
      </c>
      <c r="P5" s="19"/>
      <c r="U5" s="29"/>
      <c r="Y5" s="14">
        <f t="shared" si="1"/>
        <v>0</v>
      </c>
      <c r="Z5" s="14">
        <f t="shared" si="0"/>
        <v>0</v>
      </c>
      <c r="AA5" s="22">
        <f t="shared" si="0"/>
        <v>0</v>
      </c>
      <c r="AC5" s="30" t="s">
        <v>47</v>
      </c>
      <c r="AD5" s="32" t="str">
        <f>CONCATENATE(K4," ",L4)</f>
        <v>01 RAF MOOE</v>
      </c>
      <c r="AE5" s="32"/>
      <c r="AF5" s="32"/>
      <c r="AG5" s="32"/>
      <c r="AH5" s="38"/>
      <c r="AI5" s="39"/>
      <c r="AJ5" s="40"/>
    </row>
    <row r="6" spans="1:36" ht="21" customHeight="1" x14ac:dyDescent="0.25">
      <c r="A6" s="415" t="s">
        <v>48</v>
      </c>
      <c r="B6" s="416"/>
      <c r="C6" s="417"/>
      <c r="D6" s="418" t="str">
        <f>TOI!G7</f>
        <v>DEPDev Region 5</v>
      </c>
      <c r="E6" s="419"/>
      <c r="F6" s="419"/>
      <c r="G6" s="419"/>
      <c r="H6" s="419"/>
      <c r="I6" s="419"/>
      <c r="J6" s="166"/>
      <c r="K6" s="41"/>
      <c r="L6" s="42"/>
      <c r="N6" s="19"/>
      <c r="O6" s="19" t="s">
        <v>49</v>
      </c>
      <c r="P6" s="19"/>
      <c r="U6" s="29"/>
      <c r="Y6" s="14">
        <f t="shared" si="1"/>
        <v>0</v>
      </c>
      <c r="Z6" s="14">
        <f t="shared" si="0"/>
        <v>0</v>
      </c>
      <c r="AA6" s="22">
        <f t="shared" si="0"/>
        <v>0</v>
      </c>
      <c r="AC6" s="43"/>
      <c r="AD6" s="44"/>
      <c r="AE6" s="44"/>
      <c r="AF6" s="44"/>
      <c r="AG6" s="45"/>
      <c r="AH6" s="46"/>
      <c r="AI6" s="47"/>
      <c r="AJ6" s="48"/>
    </row>
    <row r="7" spans="1:36" ht="14.4" thickBot="1" x14ac:dyDescent="0.3">
      <c r="A7" s="415" t="s">
        <v>50</v>
      </c>
      <c r="B7" s="416"/>
      <c r="C7" s="417"/>
      <c r="D7" s="420" t="s">
        <v>146</v>
      </c>
      <c r="E7" s="421"/>
      <c r="F7" s="421"/>
      <c r="G7" s="421"/>
      <c r="H7" s="421"/>
      <c r="I7" s="421"/>
      <c r="J7" s="167"/>
      <c r="K7" s="49"/>
      <c r="L7" s="50"/>
      <c r="N7" s="19"/>
      <c r="O7" s="19" t="s">
        <v>51</v>
      </c>
      <c r="P7" s="19"/>
      <c r="U7" s="29"/>
      <c r="Y7" s="14">
        <f t="shared" si="1"/>
        <v>0</v>
      </c>
      <c r="Z7" s="14">
        <f t="shared" si="0"/>
        <v>0</v>
      </c>
      <c r="AA7" s="22">
        <f t="shared" si="0"/>
        <v>0</v>
      </c>
      <c r="AC7" s="23" t="s">
        <v>52</v>
      </c>
      <c r="AD7" s="51" t="str">
        <f>D5</f>
        <v>Ronaldo B. Bañas</v>
      </c>
      <c r="AE7" s="24"/>
      <c r="AF7" s="24"/>
      <c r="AG7" s="25"/>
      <c r="AH7" s="247" t="s">
        <v>53</v>
      </c>
      <c r="AI7" s="248"/>
      <c r="AJ7" s="249"/>
    </row>
    <row r="8" spans="1:36" x14ac:dyDescent="0.25">
      <c r="A8" s="386" t="s">
        <v>26</v>
      </c>
      <c r="B8" s="387"/>
      <c r="C8" s="388"/>
      <c r="D8" s="390" t="s">
        <v>27</v>
      </c>
      <c r="E8" s="391"/>
      <c r="F8" s="391"/>
      <c r="G8" s="391"/>
      <c r="H8" s="392"/>
      <c r="I8" s="396" t="s">
        <v>28</v>
      </c>
      <c r="J8" s="398" t="s">
        <v>29</v>
      </c>
      <c r="K8" s="390" t="s">
        <v>30</v>
      </c>
      <c r="L8" s="400"/>
      <c r="N8" s="19"/>
      <c r="O8" s="19" t="s">
        <v>54</v>
      </c>
      <c r="P8" s="19"/>
      <c r="U8" s="29"/>
      <c r="Y8" s="14">
        <f t="shared" si="1"/>
        <v>0</v>
      </c>
      <c r="Z8" s="14">
        <f t="shared" si="0"/>
        <v>0</v>
      </c>
      <c r="AA8" s="22">
        <f t="shared" si="0"/>
        <v>0</v>
      </c>
      <c r="AC8" s="52" t="s">
        <v>55</v>
      </c>
      <c r="AD8" s="53" t="str">
        <f>D7</f>
        <v>Arimbay, Legazpi City</v>
      </c>
      <c r="AE8" s="54"/>
      <c r="AF8" s="54"/>
      <c r="AG8" s="55"/>
      <c r="AH8" s="403" t="str">
        <f>I10</f>
        <v>RDC 310100100003000</v>
      </c>
      <c r="AI8" s="404"/>
      <c r="AJ8" s="405"/>
    </row>
    <row r="9" spans="1:36" ht="14.4" thickBot="1" x14ac:dyDescent="0.3">
      <c r="A9" s="302"/>
      <c r="B9" s="303"/>
      <c r="C9" s="389"/>
      <c r="D9" s="393"/>
      <c r="E9" s="394"/>
      <c r="F9" s="394"/>
      <c r="G9" s="394"/>
      <c r="H9" s="395"/>
      <c r="I9" s="397"/>
      <c r="J9" s="399"/>
      <c r="K9" s="401"/>
      <c r="L9" s="402"/>
      <c r="N9" s="19" t="s">
        <v>56</v>
      </c>
      <c r="O9" s="19" t="s">
        <v>57</v>
      </c>
      <c r="P9" s="19"/>
      <c r="U9" s="29"/>
      <c r="Y9" s="14">
        <f t="shared" si="1"/>
        <v>0</v>
      </c>
      <c r="Z9" s="14">
        <f t="shared" si="0"/>
        <v>0</v>
      </c>
      <c r="AA9" s="22">
        <f t="shared" si="0"/>
        <v>0</v>
      </c>
      <c r="AC9" s="56"/>
      <c r="AD9" s="57"/>
      <c r="AE9" s="57"/>
      <c r="AF9" s="57"/>
      <c r="AG9" s="58"/>
      <c r="AH9" s="406"/>
      <c r="AI9" s="407"/>
      <c r="AJ9" s="408"/>
    </row>
    <row r="10" spans="1:36" ht="14.55" customHeight="1" x14ac:dyDescent="0.25">
      <c r="A10" s="354" t="s">
        <v>22</v>
      </c>
      <c r="B10" s="355"/>
      <c r="C10" s="356"/>
      <c r="D10" s="357" t="s">
        <v>58</v>
      </c>
      <c r="E10" s="357"/>
      <c r="F10" s="357"/>
      <c r="G10" s="357"/>
      <c r="H10" s="358"/>
      <c r="I10" s="361" t="s">
        <v>36</v>
      </c>
      <c r="J10" s="363" t="s">
        <v>59</v>
      </c>
      <c r="K10" s="365">
        <f>TOI!K23</f>
        <v>3750</v>
      </c>
      <c r="L10" s="366"/>
      <c r="N10" s="19"/>
      <c r="U10" s="29"/>
      <c r="Y10" s="14">
        <f t="shared" si="1"/>
        <v>0</v>
      </c>
      <c r="Z10" s="14">
        <f t="shared" si="0"/>
        <v>0</v>
      </c>
      <c r="AA10" s="22">
        <f t="shared" si="0"/>
        <v>0</v>
      </c>
      <c r="AC10" s="59"/>
      <c r="AD10" s="60"/>
      <c r="AE10" s="60"/>
      <c r="AF10" s="61"/>
      <c r="AG10" s="62"/>
      <c r="AH10" s="62"/>
      <c r="AI10" s="62"/>
      <c r="AJ10" s="61"/>
    </row>
    <row r="11" spans="1:36" ht="13.95" customHeight="1" x14ac:dyDescent="0.3">
      <c r="A11" s="324" t="str">
        <f>IF(A10="Trust","Fund","General Fund")</f>
        <v>General Fund</v>
      </c>
      <c r="B11" s="325"/>
      <c r="C11" s="326"/>
      <c r="D11" s="359"/>
      <c r="E11" s="359"/>
      <c r="F11" s="359"/>
      <c r="G11" s="359"/>
      <c r="H11" s="360"/>
      <c r="I11" s="362"/>
      <c r="J11" s="364"/>
      <c r="K11" s="327"/>
      <c r="L11" s="328"/>
      <c r="M11" s="19"/>
      <c r="N11" s="14" t="s">
        <v>60</v>
      </c>
      <c r="O11" s="63" t="b">
        <v>0</v>
      </c>
      <c r="P11" s="64" t="e">
        <f>IF(#REF!="Standard",#REF!*250," ")</f>
        <v>#REF!</v>
      </c>
      <c r="Q11" s="64" t="e">
        <f>IF(#REF!="Per Contract",#REF!*235," ")</f>
        <v>#REF!</v>
      </c>
      <c r="R11" s="65" t="e">
        <f>SUM(P11:Q11)</f>
        <v>#REF!</v>
      </c>
      <c r="U11" s="29"/>
      <c r="Y11" s="14">
        <f t="shared" si="1"/>
        <v>0</v>
      </c>
      <c r="Z11" s="14">
        <f t="shared" si="0"/>
        <v>0</v>
      </c>
      <c r="AA11" s="22">
        <f t="shared" si="0"/>
        <v>0</v>
      </c>
      <c r="AC11" s="66" t="s">
        <v>61</v>
      </c>
      <c r="AD11" s="32"/>
      <c r="AE11" s="67"/>
      <c r="AF11" s="68"/>
      <c r="AG11" s="69" t="s">
        <v>62</v>
      </c>
      <c r="AH11" s="70"/>
      <c r="AI11" s="70"/>
      <c r="AJ11" s="68"/>
    </row>
    <row r="12" spans="1:36" ht="14.4" customHeight="1" thickBot="1" x14ac:dyDescent="0.35">
      <c r="A12" s="324"/>
      <c r="B12" s="325"/>
      <c r="C12" s="326"/>
      <c r="D12" s="359" t="str">
        <f>TOI!G8</f>
        <v>Field verification of flood control projects in the Province of Sorsogon</v>
      </c>
      <c r="E12" s="359"/>
      <c r="F12" s="359"/>
      <c r="G12" s="359"/>
      <c r="H12" s="360"/>
      <c r="I12" s="362"/>
      <c r="J12" s="364"/>
      <c r="K12" s="327"/>
      <c r="L12" s="328"/>
      <c r="M12" s="19"/>
      <c r="N12" s="19" t="s">
        <v>35</v>
      </c>
      <c r="O12" s="63" t="b">
        <v>1</v>
      </c>
      <c r="P12" s="71" t="e">
        <f>IF(#REF!="Standard",#REF!*150," ")</f>
        <v>#REF!</v>
      </c>
      <c r="Q12" s="71" t="e">
        <f>IF(#REF!="Per Contract",#REF!*125," ")</f>
        <v>#REF!</v>
      </c>
      <c r="R12" s="72" t="e">
        <f>SUM(P12:Q12)</f>
        <v>#REF!</v>
      </c>
      <c r="U12" s="29"/>
      <c r="Y12" s="14">
        <f t="shared" si="1"/>
        <v>0</v>
      </c>
      <c r="Z12" s="14">
        <f t="shared" si="0"/>
        <v>0</v>
      </c>
      <c r="AA12" s="22">
        <f t="shared" si="0"/>
        <v>0</v>
      </c>
      <c r="AC12" s="73"/>
      <c r="AD12" s="74"/>
      <c r="AE12" s="75"/>
      <c r="AF12" s="76"/>
      <c r="AG12" s="77"/>
      <c r="AH12" s="77"/>
      <c r="AI12" s="77"/>
      <c r="AJ12" s="76"/>
    </row>
    <row r="13" spans="1:36" ht="14.4" customHeight="1" x14ac:dyDescent="0.25">
      <c r="A13" s="324"/>
      <c r="B13" s="325"/>
      <c r="C13" s="326"/>
      <c r="D13" s="359"/>
      <c r="E13" s="359"/>
      <c r="F13" s="359"/>
      <c r="G13" s="359"/>
      <c r="H13" s="360"/>
      <c r="I13" s="78"/>
      <c r="J13" s="364"/>
      <c r="K13" s="327"/>
      <c r="L13" s="328"/>
      <c r="M13" s="19"/>
      <c r="N13" s="19" t="s">
        <v>42</v>
      </c>
      <c r="O13" s="63" t="b">
        <v>0</v>
      </c>
      <c r="P13" s="71" t="e">
        <f>IF(#REF!="Standard",#REF!*250," ")</f>
        <v>#REF!</v>
      </c>
      <c r="Q13" s="71" t="e">
        <f>IF(#REF!="Per Contract",#REF!*235," ")</f>
        <v>#REF!</v>
      </c>
      <c r="R13" s="72" t="e">
        <f t="shared" ref="R13:R16" si="2">SUM(P13:Q13)</f>
        <v>#REF!</v>
      </c>
      <c r="U13" s="29"/>
      <c r="Y13" s="14">
        <f t="shared" si="1"/>
        <v>0</v>
      </c>
      <c r="Z13" s="14">
        <f t="shared" si="0"/>
        <v>0</v>
      </c>
      <c r="AA13" s="22">
        <f t="shared" si="0"/>
        <v>0</v>
      </c>
      <c r="AC13" s="338" t="s">
        <v>27</v>
      </c>
      <c r="AD13" s="339"/>
      <c r="AE13" s="340" t="s">
        <v>30</v>
      </c>
      <c r="AF13" s="341"/>
      <c r="AG13" s="342"/>
      <c r="AH13" s="342"/>
      <c r="AI13" s="342"/>
      <c r="AJ13" s="343"/>
    </row>
    <row r="14" spans="1:36" ht="14.4" customHeight="1" x14ac:dyDescent="0.25">
      <c r="A14" s="79"/>
      <c r="B14" s="80"/>
      <c r="C14" s="81"/>
      <c r="D14" s="359"/>
      <c r="E14" s="359"/>
      <c r="F14" s="359"/>
      <c r="G14" s="359"/>
      <c r="H14" s="360"/>
      <c r="I14" s="78"/>
      <c r="J14" s="82"/>
      <c r="K14" s="83"/>
      <c r="L14" s="84"/>
      <c r="M14" s="19"/>
      <c r="N14" s="19" t="s">
        <v>46</v>
      </c>
      <c r="O14" s="63" t="b">
        <v>0</v>
      </c>
      <c r="P14" s="71" t="e">
        <f>IF(#REF!="Standard",#REF!*150," ")</f>
        <v>#REF!</v>
      </c>
      <c r="Q14" s="71" t="e">
        <f>IF(#REF!="Per Contract",#REF!*125," ")</f>
        <v>#REF!</v>
      </c>
      <c r="R14" s="72" t="e">
        <f t="shared" si="2"/>
        <v>#REF!</v>
      </c>
      <c r="U14" s="29"/>
      <c r="Y14" s="14">
        <f t="shared" si="1"/>
        <v>0</v>
      </c>
      <c r="Z14" s="14">
        <f t="shared" si="0"/>
        <v>0</v>
      </c>
      <c r="AA14" s="22">
        <f t="shared" si="0"/>
        <v>3750</v>
      </c>
      <c r="AC14" s="344" t="str">
        <f>D10</f>
        <v>Travel allowance for the following purpose:</v>
      </c>
      <c r="AD14" s="345"/>
      <c r="AE14" s="348">
        <f>K21</f>
        <v>3750</v>
      </c>
      <c r="AF14" s="349"/>
      <c r="AG14" s="334" t="s">
        <v>63</v>
      </c>
      <c r="AH14" s="335"/>
      <c r="AI14" s="350">
        <f>AE15</f>
        <v>0</v>
      </c>
      <c r="AJ14" s="351"/>
    </row>
    <row r="15" spans="1:36" ht="14.4" customHeight="1" x14ac:dyDescent="0.25">
      <c r="A15" s="79"/>
      <c r="B15" s="80"/>
      <c r="C15" s="81"/>
      <c r="D15" s="359"/>
      <c r="E15" s="359"/>
      <c r="F15" s="359"/>
      <c r="G15" s="359"/>
      <c r="H15" s="360"/>
      <c r="I15" s="78"/>
      <c r="J15" s="82"/>
      <c r="K15" s="83"/>
      <c r="L15" s="84"/>
      <c r="M15" s="19"/>
      <c r="N15" s="19" t="s">
        <v>49</v>
      </c>
      <c r="O15" s="63" t="b">
        <v>0</v>
      </c>
      <c r="P15" s="71" t="e">
        <f>IF(#REF!="Standard",#REF!*250," ")</f>
        <v>#REF!</v>
      </c>
      <c r="Q15" s="71" t="e">
        <f>IF(#REF!="Per Contract",#REF!*235," ")</f>
        <v>#REF!</v>
      </c>
      <c r="R15" s="72" t="e">
        <f t="shared" si="2"/>
        <v>#REF!</v>
      </c>
      <c r="U15" s="29"/>
      <c r="AA15" s="22"/>
      <c r="AC15" s="346"/>
      <c r="AD15" s="347"/>
      <c r="AE15" s="352"/>
      <c r="AF15" s="353"/>
      <c r="AG15" s="85"/>
      <c r="AH15" s="86"/>
      <c r="AI15" s="87"/>
      <c r="AJ15" s="88"/>
    </row>
    <row r="16" spans="1:36" ht="14.4" customHeight="1" thickBot="1" x14ac:dyDescent="0.3">
      <c r="A16" s="79"/>
      <c r="B16" s="80"/>
      <c r="C16" s="81"/>
      <c r="D16" s="359"/>
      <c r="E16" s="359"/>
      <c r="F16" s="359"/>
      <c r="G16" s="359"/>
      <c r="H16" s="360"/>
      <c r="I16" s="78"/>
      <c r="J16" s="82"/>
      <c r="K16" s="83"/>
      <c r="L16" s="84"/>
      <c r="M16" s="19"/>
      <c r="N16" s="19" t="s">
        <v>51</v>
      </c>
      <c r="O16" s="63" t="b">
        <v>0</v>
      </c>
      <c r="P16" s="89" t="e">
        <f>IF(#REF!="Standard",#REF!*150," ")</f>
        <v>#REF!</v>
      </c>
      <c r="Q16" s="89" t="e">
        <f>IF(#REF!="Per Contract",#REF!*125," ")</f>
        <v>#REF!</v>
      </c>
      <c r="R16" s="72" t="e">
        <f t="shared" si="2"/>
        <v>#REF!</v>
      </c>
      <c r="U16" s="90"/>
      <c r="V16" s="91"/>
      <c r="W16" s="91"/>
      <c r="X16" s="91"/>
      <c r="Y16" s="91"/>
      <c r="Z16" s="91"/>
      <c r="AA16" s="92" t="s">
        <v>64</v>
      </c>
      <c r="AC16" s="346"/>
      <c r="AD16" s="347"/>
      <c r="AE16" s="329"/>
      <c r="AF16" s="249"/>
      <c r="AG16" s="334" t="s">
        <v>65</v>
      </c>
      <c r="AH16" s="335"/>
      <c r="AI16" s="87"/>
      <c r="AJ16" s="93"/>
    </row>
    <row r="17" spans="1:39" ht="14.4" customHeight="1" x14ac:dyDescent="0.25">
      <c r="A17" s="324"/>
      <c r="B17" s="325"/>
      <c r="C17" s="326"/>
      <c r="D17" s="359"/>
      <c r="E17" s="359"/>
      <c r="F17" s="359"/>
      <c r="G17" s="359"/>
      <c r="H17" s="360"/>
      <c r="I17" s="78"/>
      <c r="J17" s="82"/>
      <c r="K17" s="327"/>
      <c r="L17" s="328"/>
      <c r="M17" s="19"/>
      <c r="N17" s="19" t="s">
        <v>54</v>
      </c>
      <c r="AC17" s="346"/>
      <c r="AD17" s="347"/>
      <c r="AE17" s="329"/>
      <c r="AF17" s="249"/>
      <c r="AG17" s="336" t="s">
        <v>66</v>
      </c>
      <c r="AH17" s="337"/>
      <c r="AI17" s="322"/>
      <c r="AJ17" s="323"/>
    </row>
    <row r="18" spans="1:39" ht="14.4" customHeight="1" x14ac:dyDescent="0.25">
      <c r="A18" s="324"/>
      <c r="B18" s="325"/>
      <c r="C18" s="326"/>
      <c r="D18" s="359"/>
      <c r="E18" s="359"/>
      <c r="F18" s="359"/>
      <c r="G18" s="359"/>
      <c r="H18" s="360"/>
      <c r="I18" s="78"/>
      <c r="J18" s="82"/>
      <c r="K18" s="327"/>
      <c r="L18" s="328"/>
      <c r="N18" s="19" t="s">
        <v>57</v>
      </c>
      <c r="AC18" s="346"/>
      <c r="AD18" s="347"/>
      <c r="AE18" s="329"/>
      <c r="AF18" s="249"/>
      <c r="AG18" s="24"/>
      <c r="AH18" s="24"/>
      <c r="AI18" s="94"/>
      <c r="AJ18" s="93"/>
    </row>
    <row r="19" spans="1:39" ht="14.4" customHeight="1" x14ac:dyDescent="0.25">
      <c r="A19" s="324"/>
      <c r="B19" s="325"/>
      <c r="C19" s="326"/>
      <c r="D19" s="359"/>
      <c r="E19" s="359"/>
      <c r="F19" s="359"/>
      <c r="G19" s="359"/>
      <c r="H19" s="360"/>
      <c r="I19" s="78"/>
      <c r="J19" s="82"/>
      <c r="K19" s="327"/>
      <c r="L19" s="328"/>
      <c r="T19" s="95"/>
      <c r="U19" s="95"/>
      <c r="V19" s="95"/>
      <c r="W19" s="95"/>
      <c r="X19" s="95"/>
      <c r="Y19" s="95"/>
      <c r="Z19" s="95"/>
      <c r="AA19" s="95"/>
      <c r="AB19" s="95"/>
      <c r="AC19" s="346"/>
      <c r="AD19" s="347"/>
      <c r="AE19" s="329"/>
      <c r="AF19" s="249"/>
      <c r="AG19" s="330" t="s">
        <v>67</v>
      </c>
      <c r="AH19" s="331"/>
      <c r="AI19" s="332"/>
      <c r="AJ19" s="333"/>
      <c r="AK19" s="95"/>
      <c r="AL19" s="95"/>
      <c r="AM19" s="95"/>
    </row>
    <row r="20" spans="1:39" ht="19.05" customHeight="1" thickBot="1" x14ac:dyDescent="0.3">
      <c r="A20" s="324"/>
      <c r="B20" s="325"/>
      <c r="C20" s="326"/>
      <c r="D20" s="359"/>
      <c r="E20" s="359"/>
      <c r="F20" s="359"/>
      <c r="G20" s="359"/>
      <c r="H20" s="360"/>
      <c r="I20" s="78"/>
      <c r="J20" s="82"/>
      <c r="K20" s="327"/>
      <c r="L20" s="328"/>
      <c r="N20" s="14" t="s">
        <v>68</v>
      </c>
      <c r="Q20" s="95"/>
      <c r="R20" s="95"/>
      <c r="S20" s="95"/>
      <c r="T20" s="95"/>
      <c r="U20" s="95"/>
      <c r="V20" s="95"/>
      <c r="W20" s="95"/>
      <c r="X20" s="95"/>
      <c r="Y20" s="95"/>
      <c r="Z20" s="95"/>
      <c r="AA20" s="95"/>
      <c r="AB20" s="95"/>
      <c r="AC20" s="313"/>
      <c r="AD20" s="314"/>
      <c r="AE20" s="315"/>
      <c r="AF20" s="316"/>
      <c r="AG20" s="24"/>
      <c r="AH20" s="24"/>
      <c r="AI20" s="24"/>
      <c r="AJ20" s="25"/>
      <c r="AK20" s="95"/>
      <c r="AL20" s="95"/>
      <c r="AM20" s="95"/>
    </row>
    <row r="21" spans="1:39" ht="14.4" thickBot="1" x14ac:dyDescent="0.3">
      <c r="A21" s="317"/>
      <c r="B21" s="318"/>
      <c r="C21" s="319"/>
      <c r="D21" s="367"/>
      <c r="E21" s="367"/>
      <c r="F21" s="367"/>
      <c r="G21" s="367"/>
      <c r="H21" s="368"/>
      <c r="I21" s="96"/>
      <c r="J21" s="97"/>
      <c r="K21" s="320">
        <f>SUM(K10:L20)</f>
        <v>3750</v>
      </c>
      <c r="L21" s="321"/>
      <c r="N21" s="98" t="str">
        <f>CONCATENATE(O21," ",R21)</f>
        <v>Traveling Expenses-local 50201010 00</v>
      </c>
      <c r="O21" s="98" t="s">
        <v>69</v>
      </c>
      <c r="Q21" s="95"/>
      <c r="R21" s="95" t="s">
        <v>70</v>
      </c>
      <c r="S21" s="95"/>
      <c r="T21" s="95"/>
      <c r="U21" s="95"/>
      <c r="V21" s="95"/>
      <c r="W21" s="95"/>
      <c r="X21" s="95"/>
      <c r="Y21" s="95"/>
      <c r="Z21" s="95"/>
      <c r="AA21" s="95"/>
      <c r="AB21" s="95"/>
      <c r="AC21" s="99" t="s">
        <v>71</v>
      </c>
      <c r="AD21" s="60"/>
      <c r="AE21" s="60"/>
      <c r="AF21" s="100"/>
      <c r="AG21" s="60"/>
      <c r="AH21" s="60"/>
      <c r="AI21" s="60"/>
      <c r="AJ21" s="100"/>
      <c r="AK21" s="95"/>
      <c r="AL21" s="95"/>
      <c r="AM21" s="95"/>
    </row>
    <row r="22" spans="1:39" s="95" customFormat="1" x14ac:dyDescent="0.25">
      <c r="A22" s="304" t="s">
        <v>72</v>
      </c>
      <c r="B22" s="101"/>
      <c r="C22" s="102"/>
      <c r="D22" s="306" t="s">
        <v>73</v>
      </c>
      <c r="E22" s="307"/>
      <c r="F22" s="307"/>
      <c r="G22" s="307"/>
      <c r="H22" s="308"/>
      <c r="I22" s="309" t="s">
        <v>74</v>
      </c>
      <c r="J22" s="102"/>
      <c r="K22" s="102"/>
      <c r="L22" s="103"/>
      <c r="M22" s="14"/>
      <c r="N22" s="98" t="str">
        <f>CONCATENATE(O22," ",R22)</f>
        <v>Training Expenses 50202010 00</v>
      </c>
      <c r="O22" s="98" t="s">
        <v>75</v>
      </c>
      <c r="P22" s="14"/>
      <c r="R22" s="95" t="s">
        <v>76</v>
      </c>
      <c r="T22" s="14"/>
      <c r="U22" s="14"/>
      <c r="V22" s="14"/>
      <c r="W22" s="14"/>
      <c r="X22" s="14"/>
      <c r="Y22" s="14"/>
      <c r="Z22" s="14"/>
      <c r="AA22" s="14"/>
      <c r="AB22" s="14"/>
      <c r="AC22" s="23"/>
      <c r="AD22" s="24"/>
      <c r="AE22" s="24"/>
      <c r="AF22" s="25"/>
      <c r="AG22" s="104"/>
      <c r="AH22" s="259" t="s">
        <v>77</v>
      </c>
      <c r="AI22" s="259"/>
      <c r="AJ22" s="260"/>
      <c r="AK22" s="14"/>
      <c r="AL22" s="14"/>
      <c r="AM22" s="14"/>
    </row>
    <row r="23" spans="1:39" s="95" customFormat="1" x14ac:dyDescent="0.25">
      <c r="A23" s="305"/>
      <c r="B23" s="311" t="s">
        <v>78</v>
      </c>
      <c r="C23" s="312"/>
      <c r="D23" s="307"/>
      <c r="E23" s="307"/>
      <c r="F23" s="307"/>
      <c r="G23" s="307"/>
      <c r="H23" s="308"/>
      <c r="I23" s="310"/>
      <c r="J23" s="102"/>
      <c r="K23" s="102"/>
      <c r="L23" s="103"/>
      <c r="M23" s="14"/>
      <c r="N23" s="14"/>
      <c r="O23" s="14"/>
      <c r="P23" s="14"/>
      <c r="Q23" s="14"/>
      <c r="R23" s="14"/>
      <c r="S23" s="14"/>
      <c r="T23" s="14"/>
      <c r="U23" s="14"/>
      <c r="V23" s="14"/>
      <c r="W23" s="14"/>
      <c r="X23" s="14"/>
      <c r="Y23" s="14"/>
      <c r="Z23" s="14"/>
      <c r="AA23" s="14"/>
      <c r="AB23" s="14"/>
      <c r="AC23" s="247"/>
      <c r="AD23" s="248"/>
      <c r="AE23" s="248"/>
      <c r="AF23" s="249"/>
      <c r="AG23" s="12"/>
      <c r="AH23" s="105"/>
      <c r="AI23" s="105"/>
      <c r="AJ23" s="106"/>
      <c r="AK23" s="14"/>
      <c r="AL23" s="14"/>
      <c r="AM23" s="14"/>
    </row>
    <row r="24" spans="1:39" s="95" customFormat="1" x14ac:dyDescent="0.25">
      <c r="A24" s="107"/>
      <c r="B24" s="300" t="s">
        <v>79</v>
      </c>
      <c r="C24" s="300"/>
      <c r="D24" s="300"/>
      <c r="E24" s="300"/>
      <c r="F24" s="300"/>
      <c r="G24" s="300"/>
      <c r="H24" s="301"/>
      <c r="I24" s="108" t="s">
        <v>80</v>
      </c>
      <c r="J24" s="102"/>
      <c r="K24" s="102"/>
      <c r="L24" s="103"/>
      <c r="M24" s="14"/>
      <c r="N24" s="14"/>
      <c r="O24" s="14"/>
      <c r="P24" s="14"/>
      <c r="Q24" s="14"/>
      <c r="R24" s="14"/>
      <c r="S24" s="14"/>
      <c r="T24" s="14"/>
      <c r="U24" s="14"/>
      <c r="V24" s="14"/>
      <c r="W24" s="14"/>
      <c r="X24" s="14"/>
      <c r="Y24" s="14"/>
      <c r="Z24" s="14"/>
      <c r="AA24" s="14"/>
      <c r="AB24" s="14"/>
      <c r="AC24" s="256" t="str">
        <f>AD7</f>
        <v>Ronaldo B. Bañas</v>
      </c>
      <c r="AD24" s="257"/>
      <c r="AE24" s="257"/>
      <c r="AF24" s="258"/>
      <c r="AG24" s="104"/>
      <c r="AH24" s="259" t="s">
        <v>81</v>
      </c>
      <c r="AI24" s="259"/>
      <c r="AJ24" s="260"/>
      <c r="AK24" s="14"/>
      <c r="AL24" s="14"/>
      <c r="AM24" s="14"/>
    </row>
    <row r="25" spans="1:39" x14ac:dyDescent="0.25">
      <c r="A25" s="109"/>
      <c r="B25" s="102" t="s">
        <v>82</v>
      </c>
      <c r="C25" s="102"/>
      <c r="D25" s="102"/>
      <c r="E25" s="102"/>
      <c r="F25" s="102"/>
      <c r="G25" s="102"/>
      <c r="H25" s="103"/>
      <c r="I25" s="102" t="s">
        <v>83</v>
      </c>
      <c r="J25" s="102"/>
      <c r="K25" s="102"/>
      <c r="L25" s="103"/>
      <c r="AC25" s="247" t="s">
        <v>84</v>
      </c>
      <c r="AD25" s="248"/>
      <c r="AE25" s="248"/>
      <c r="AF25" s="249"/>
      <c r="AG25" s="24"/>
      <c r="AH25" s="24"/>
      <c r="AI25" s="24"/>
      <c r="AJ25" s="25"/>
    </row>
    <row r="26" spans="1:39" x14ac:dyDescent="0.25">
      <c r="A26" s="109"/>
      <c r="B26" s="102"/>
      <c r="C26" s="102"/>
      <c r="D26" s="102"/>
      <c r="E26" s="102"/>
      <c r="F26" s="102"/>
      <c r="G26" s="102"/>
      <c r="H26" s="103"/>
      <c r="I26" s="102"/>
      <c r="J26" s="102"/>
      <c r="K26" s="102"/>
      <c r="L26" s="103"/>
      <c r="AC26" s="247" t="s">
        <v>85</v>
      </c>
      <c r="AD26" s="248"/>
      <c r="AE26" s="248"/>
      <c r="AF26" s="249"/>
      <c r="AG26" s="24"/>
      <c r="AH26" s="24"/>
      <c r="AI26" s="24"/>
      <c r="AJ26" s="25"/>
    </row>
    <row r="27" spans="1:39" x14ac:dyDescent="0.25">
      <c r="A27" s="302" t="s">
        <v>86</v>
      </c>
      <c r="B27" s="303"/>
      <c r="C27" s="298"/>
      <c r="D27" s="298"/>
      <c r="E27" s="298"/>
      <c r="F27" s="298"/>
      <c r="G27" s="298"/>
      <c r="H27" s="299"/>
      <c r="I27" s="102" t="s">
        <v>87</v>
      </c>
      <c r="J27" s="110"/>
      <c r="K27" s="102"/>
      <c r="L27" s="103"/>
      <c r="AC27" s="111"/>
      <c r="AD27" s="112"/>
      <c r="AE27" s="112"/>
      <c r="AF27" s="113"/>
      <c r="AG27" s="24"/>
      <c r="AH27" s="24"/>
      <c r="AI27" s="24"/>
      <c r="AJ27" s="25"/>
    </row>
    <row r="28" spans="1:39" x14ac:dyDescent="0.25">
      <c r="A28" s="114" t="s">
        <v>88</v>
      </c>
      <c r="B28" s="102"/>
      <c r="C28" s="298" t="str">
        <f>TOI!F30</f>
        <v>GWENDOLYN S. BITARE</v>
      </c>
      <c r="D28" s="298"/>
      <c r="E28" s="298"/>
      <c r="F28" s="298"/>
      <c r="G28" s="298"/>
      <c r="H28" s="299"/>
      <c r="I28" s="102" t="s">
        <v>89</v>
      </c>
      <c r="J28" s="110" t="s">
        <v>152</v>
      </c>
      <c r="K28" s="102"/>
      <c r="L28" s="103"/>
      <c r="AC28" s="115" t="s">
        <v>90</v>
      </c>
      <c r="AD28" s="12"/>
      <c r="AE28" s="24"/>
      <c r="AF28" s="25"/>
      <c r="AG28" s="24"/>
      <c r="AH28" s="24"/>
      <c r="AI28" s="24"/>
      <c r="AJ28" s="25"/>
    </row>
    <row r="29" spans="1:39" x14ac:dyDescent="0.25">
      <c r="A29" s="293" t="s">
        <v>91</v>
      </c>
      <c r="B29" s="294"/>
      <c r="C29" s="296" t="str">
        <f>TOI!F31</f>
        <v>Chief AO, FAD</v>
      </c>
      <c r="D29" s="296"/>
      <c r="E29" s="296"/>
      <c r="F29" s="296"/>
      <c r="G29" s="296"/>
      <c r="H29" s="297"/>
      <c r="I29" s="102" t="s">
        <v>92</v>
      </c>
      <c r="J29" s="296" t="s">
        <v>153</v>
      </c>
      <c r="K29" s="296"/>
      <c r="L29" s="297"/>
      <c r="AC29" s="256"/>
      <c r="AD29" s="257"/>
      <c r="AE29" s="257"/>
      <c r="AF29" s="258"/>
      <c r="AG29" s="256" t="str">
        <f>AC36</f>
        <v>GWENDOLYN S. BITARE</v>
      </c>
      <c r="AH29" s="257"/>
      <c r="AI29" s="257"/>
      <c r="AJ29" s="258"/>
    </row>
    <row r="30" spans="1:39" ht="14.4" thickBot="1" x14ac:dyDescent="0.3">
      <c r="A30" s="293" t="s">
        <v>93</v>
      </c>
      <c r="B30" s="294"/>
      <c r="C30" s="295" t="str">
        <f>K3</f>
        <v>September 17,2025</v>
      </c>
      <c r="D30" s="296"/>
      <c r="E30" s="296"/>
      <c r="F30" s="296"/>
      <c r="G30" s="296"/>
      <c r="H30" s="297"/>
      <c r="I30" s="102" t="s">
        <v>94</v>
      </c>
      <c r="J30" s="116"/>
      <c r="K30" s="102"/>
      <c r="L30" s="103"/>
      <c r="AC30" s="247"/>
      <c r="AD30" s="248"/>
      <c r="AE30" s="248"/>
      <c r="AF30" s="249"/>
      <c r="AG30" s="244" t="s">
        <v>85</v>
      </c>
      <c r="AH30" s="245"/>
      <c r="AI30" s="245"/>
      <c r="AJ30" s="246"/>
    </row>
    <row r="31" spans="1:39" ht="14.4" thickBot="1" x14ac:dyDescent="0.3">
      <c r="A31" s="117"/>
      <c r="B31" s="118"/>
      <c r="C31" s="119"/>
      <c r="D31" s="119"/>
      <c r="E31" s="119"/>
      <c r="F31" s="119"/>
      <c r="G31" s="119"/>
      <c r="H31" s="119"/>
      <c r="I31" s="119"/>
      <c r="J31" s="119"/>
      <c r="K31" s="119"/>
      <c r="L31" s="120"/>
      <c r="AC31" s="256" t="s">
        <v>95</v>
      </c>
      <c r="AD31" s="257"/>
      <c r="AE31" s="257"/>
      <c r="AF31" s="258"/>
      <c r="AG31" s="244" t="s">
        <v>96</v>
      </c>
      <c r="AH31" s="245"/>
      <c r="AI31" s="245"/>
      <c r="AJ31" s="246"/>
    </row>
    <row r="32" spans="1:39" ht="14.4" thickBot="1" x14ac:dyDescent="0.3">
      <c r="A32" s="121" t="s">
        <v>97</v>
      </c>
      <c r="B32" s="276" t="s">
        <v>98</v>
      </c>
      <c r="C32" s="277"/>
      <c r="D32" s="277"/>
      <c r="E32" s="277"/>
      <c r="F32" s="277"/>
      <c r="G32" s="277"/>
      <c r="H32" s="277"/>
      <c r="I32" s="277"/>
      <c r="J32" s="277"/>
      <c r="K32" s="277"/>
      <c r="L32" s="278"/>
      <c r="AC32" s="247" t="s">
        <v>85</v>
      </c>
      <c r="AD32" s="248"/>
      <c r="AE32" s="248"/>
      <c r="AF32" s="249"/>
      <c r="AG32" s="122"/>
      <c r="AH32" s="122"/>
      <c r="AI32" s="122"/>
      <c r="AJ32" s="123"/>
    </row>
    <row r="33" spans="1:36" ht="14.4" thickBot="1" x14ac:dyDescent="0.3">
      <c r="A33" s="279" t="s">
        <v>99</v>
      </c>
      <c r="B33" s="277"/>
      <c r="C33" s="277"/>
      <c r="D33" s="277"/>
      <c r="E33" s="277"/>
      <c r="F33" s="277"/>
      <c r="G33" s="278"/>
      <c r="H33" s="279" t="s">
        <v>30</v>
      </c>
      <c r="I33" s="277"/>
      <c r="J33" s="277"/>
      <c r="K33" s="277"/>
      <c r="L33" s="278"/>
      <c r="AC33" s="247" t="s">
        <v>100</v>
      </c>
      <c r="AD33" s="248"/>
      <c r="AE33" s="248"/>
      <c r="AF33" s="249"/>
      <c r="AG33" s="122"/>
      <c r="AH33" s="122"/>
      <c r="AI33" s="122"/>
      <c r="AJ33" s="123"/>
    </row>
    <row r="34" spans="1:36" ht="14.4" thickBot="1" x14ac:dyDescent="0.3">
      <c r="A34" s="280" t="s">
        <v>24</v>
      </c>
      <c r="B34" s="282" t="s">
        <v>27</v>
      </c>
      <c r="C34" s="283"/>
      <c r="D34" s="283"/>
      <c r="E34" s="286" t="s">
        <v>101</v>
      </c>
      <c r="F34" s="287"/>
      <c r="G34" s="288"/>
      <c r="H34" s="280" t="s">
        <v>102</v>
      </c>
      <c r="I34" s="292" t="s">
        <v>103</v>
      </c>
      <c r="J34" s="250" t="s">
        <v>104</v>
      </c>
      <c r="K34" s="251" t="s">
        <v>105</v>
      </c>
      <c r="L34" s="252"/>
      <c r="AC34" s="124"/>
      <c r="AD34" s="125"/>
      <c r="AE34" s="57"/>
      <c r="AF34" s="58"/>
      <c r="AG34" s="57"/>
      <c r="AH34" s="57"/>
      <c r="AI34" s="57"/>
      <c r="AJ34" s="58"/>
    </row>
    <row r="35" spans="1:36" ht="42" thickBot="1" x14ac:dyDescent="0.3">
      <c r="A35" s="280"/>
      <c r="B35" s="282"/>
      <c r="C35" s="283"/>
      <c r="D35" s="283"/>
      <c r="E35" s="286"/>
      <c r="F35" s="287"/>
      <c r="G35" s="288"/>
      <c r="H35" s="280"/>
      <c r="I35" s="292"/>
      <c r="J35" s="250"/>
      <c r="K35" s="126" t="s">
        <v>106</v>
      </c>
      <c r="L35" s="127" t="s">
        <v>107</v>
      </c>
      <c r="AC35" s="128" t="s">
        <v>108</v>
      </c>
      <c r="AD35" s="60"/>
      <c r="AE35" s="129"/>
      <c r="AF35" s="100"/>
      <c r="AG35" s="60"/>
      <c r="AH35" s="253" t="s">
        <v>109</v>
      </c>
      <c r="AI35" s="254"/>
      <c r="AJ35" s="255"/>
    </row>
    <row r="36" spans="1:36" ht="14.4" thickBot="1" x14ac:dyDescent="0.3">
      <c r="A36" s="281"/>
      <c r="B36" s="284"/>
      <c r="C36" s="285"/>
      <c r="D36" s="285"/>
      <c r="E36" s="289"/>
      <c r="F36" s="290"/>
      <c r="G36" s="291"/>
      <c r="H36" s="130" t="s">
        <v>110</v>
      </c>
      <c r="I36" s="131" t="s">
        <v>111</v>
      </c>
      <c r="J36" s="132" t="s">
        <v>112</v>
      </c>
      <c r="K36" s="133" t="s">
        <v>113</v>
      </c>
      <c r="L36" s="134" t="s">
        <v>114</v>
      </c>
      <c r="AC36" s="256" t="s">
        <v>115</v>
      </c>
      <c r="AD36" s="257"/>
      <c r="AE36" s="257"/>
      <c r="AF36" s="258"/>
      <c r="AG36" s="104"/>
      <c r="AH36" s="259" t="s">
        <v>116</v>
      </c>
      <c r="AI36" s="259"/>
      <c r="AJ36" s="260"/>
    </row>
    <row r="37" spans="1:36" x14ac:dyDescent="0.25">
      <c r="A37" s="135" t="str">
        <f>+K3</f>
        <v>September 17,2025</v>
      </c>
      <c r="B37" s="261" t="str">
        <f>CONCATENATE(D10,D12)</f>
        <v>Travel allowance for the following purpose:Field verification of flood control projects in the Province of Sorsogon</v>
      </c>
      <c r="C37" s="262"/>
      <c r="D37" s="263"/>
      <c r="E37" s="270"/>
      <c r="F37" s="271"/>
      <c r="G37" s="272"/>
      <c r="H37" s="176">
        <f>+K21</f>
        <v>3750</v>
      </c>
      <c r="I37" s="177"/>
      <c r="J37" s="178"/>
      <c r="K37" s="179">
        <f>+H37</f>
        <v>3750</v>
      </c>
      <c r="L37" s="84"/>
      <c r="AC37" s="244" t="s">
        <v>85</v>
      </c>
      <c r="AD37" s="245"/>
      <c r="AE37" s="245"/>
      <c r="AF37" s="246"/>
      <c r="AG37" s="24"/>
      <c r="AH37" s="24"/>
      <c r="AI37" s="24"/>
      <c r="AJ37" s="25"/>
    </row>
    <row r="38" spans="1:36" x14ac:dyDescent="0.25">
      <c r="A38" s="139"/>
      <c r="B38" s="264"/>
      <c r="C38" s="265"/>
      <c r="D38" s="266"/>
      <c r="E38" s="78"/>
      <c r="F38" s="102"/>
      <c r="G38" s="103"/>
      <c r="H38" s="140"/>
      <c r="I38" s="136"/>
      <c r="J38" s="137"/>
      <c r="K38" s="138"/>
      <c r="L38" s="141"/>
      <c r="AC38" s="142"/>
      <c r="AF38" s="144"/>
      <c r="AG38" s="24"/>
      <c r="AH38" s="24"/>
      <c r="AI38" s="24"/>
      <c r="AJ38" s="25"/>
    </row>
    <row r="39" spans="1:36" x14ac:dyDescent="0.25">
      <c r="A39" s="139"/>
      <c r="B39" s="264"/>
      <c r="C39" s="265"/>
      <c r="D39" s="266"/>
      <c r="E39" s="78"/>
      <c r="F39" s="102"/>
      <c r="G39" s="103"/>
      <c r="H39" s="140"/>
      <c r="I39" s="136"/>
      <c r="J39" s="137"/>
      <c r="K39" s="138"/>
      <c r="L39" s="141"/>
      <c r="AC39" s="145"/>
      <c r="AD39" s="24"/>
      <c r="AE39" s="12"/>
      <c r="AF39" s="106"/>
      <c r="AG39" s="24"/>
      <c r="AH39" s="24"/>
      <c r="AI39" s="24"/>
      <c r="AJ39" s="25"/>
    </row>
    <row r="40" spans="1:36" x14ac:dyDescent="0.25">
      <c r="A40" s="139"/>
      <c r="B40" s="264"/>
      <c r="C40" s="265"/>
      <c r="D40" s="266"/>
      <c r="E40" s="78"/>
      <c r="F40" s="102"/>
      <c r="G40" s="103"/>
      <c r="H40" s="140"/>
      <c r="I40" s="136"/>
      <c r="J40" s="137"/>
      <c r="K40" s="138"/>
      <c r="L40" s="141"/>
      <c r="AC40" s="145" t="s">
        <v>117</v>
      </c>
      <c r="AD40" s="24"/>
      <c r="AE40" s="24"/>
      <c r="AF40" s="25"/>
      <c r="AG40" s="248" t="s">
        <v>118</v>
      </c>
      <c r="AH40" s="248"/>
      <c r="AI40" s="248"/>
      <c r="AJ40" s="249"/>
    </row>
    <row r="41" spans="1:36" x14ac:dyDescent="0.25">
      <c r="A41" s="139"/>
      <c r="B41" s="264"/>
      <c r="C41" s="265"/>
      <c r="D41" s="266"/>
      <c r="E41" s="78"/>
      <c r="F41" s="102"/>
      <c r="G41" s="103"/>
      <c r="H41" s="140"/>
      <c r="I41" s="136"/>
      <c r="J41" s="137"/>
      <c r="K41" s="138"/>
      <c r="L41" s="141"/>
      <c r="AC41" s="111"/>
      <c r="AD41" s="112"/>
      <c r="AE41" s="112"/>
      <c r="AF41" s="113"/>
      <c r="AG41" s="112"/>
      <c r="AH41" s="112"/>
      <c r="AI41" s="112"/>
      <c r="AJ41" s="113"/>
    </row>
    <row r="42" spans="1:36" x14ac:dyDescent="0.25">
      <c r="A42" s="146"/>
      <c r="B42" s="264"/>
      <c r="C42" s="265"/>
      <c r="D42" s="266"/>
      <c r="E42" s="136"/>
      <c r="F42" s="102"/>
      <c r="G42" s="103"/>
      <c r="H42" s="147"/>
      <c r="I42" s="136"/>
      <c r="J42" s="137"/>
      <c r="K42" s="137"/>
      <c r="L42" s="103"/>
      <c r="AC42" s="111"/>
      <c r="AD42" s="112"/>
      <c r="AE42" s="112"/>
      <c r="AF42" s="113"/>
      <c r="AG42" s="112"/>
      <c r="AH42" s="112"/>
      <c r="AI42" s="112"/>
      <c r="AJ42" s="113"/>
    </row>
    <row r="43" spans="1:36" ht="14.4" thickBot="1" x14ac:dyDescent="0.3">
      <c r="A43" s="148"/>
      <c r="B43" s="267"/>
      <c r="C43" s="268"/>
      <c r="D43" s="269"/>
      <c r="E43" s="149"/>
      <c r="F43" s="150"/>
      <c r="G43" s="151"/>
      <c r="H43" s="152"/>
      <c r="I43" s="149"/>
      <c r="J43" s="153"/>
      <c r="K43" s="153"/>
      <c r="L43" s="151"/>
      <c r="AC43" s="273" t="str">
        <f>AD7</f>
        <v>Ronaldo B. Bañas</v>
      </c>
      <c r="AD43" s="274"/>
      <c r="AE43" s="274"/>
      <c r="AF43" s="275"/>
      <c r="AG43" s="245" t="s">
        <v>85</v>
      </c>
      <c r="AH43" s="245"/>
      <c r="AI43" s="245"/>
      <c r="AJ43" s="246"/>
    </row>
    <row r="44" spans="1:36" x14ac:dyDescent="0.25">
      <c r="AC44" s="244" t="s">
        <v>25</v>
      </c>
      <c r="AD44" s="245"/>
      <c r="AE44" s="245"/>
      <c r="AF44" s="246"/>
      <c r="AG44" s="245" t="s">
        <v>25</v>
      </c>
      <c r="AH44" s="245"/>
      <c r="AI44" s="245"/>
      <c r="AJ44" s="246"/>
    </row>
    <row r="45" spans="1:36" x14ac:dyDescent="0.25">
      <c r="AC45" s="247" t="s">
        <v>119</v>
      </c>
      <c r="AD45" s="248"/>
      <c r="AE45" s="248"/>
      <c r="AF45" s="249"/>
      <c r="AG45" s="248" t="s">
        <v>119</v>
      </c>
      <c r="AH45" s="248"/>
      <c r="AI45" s="248"/>
      <c r="AJ45" s="249"/>
    </row>
    <row r="46" spans="1:36" ht="14.4" thickBot="1" x14ac:dyDescent="0.3">
      <c r="AC46" s="124"/>
      <c r="AD46" s="57"/>
      <c r="AE46" s="57"/>
      <c r="AF46" s="58"/>
      <c r="AG46" s="57"/>
      <c r="AH46" s="57"/>
      <c r="AI46" s="57"/>
      <c r="AJ46" s="58"/>
    </row>
    <row r="47" spans="1:36" x14ac:dyDescent="0.25">
      <c r="AC47" s="24"/>
      <c r="AD47" s="24"/>
      <c r="AE47" s="24"/>
      <c r="AF47" s="24"/>
      <c r="AG47" s="24"/>
      <c r="AH47" s="24"/>
      <c r="AI47" s="24"/>
      <c r="AJ47" s="24"/>
    </row>
  </sheetData>
  <mergeCells count="112">
    <mergeCell ref="AH1:AJ1"/>
    <mergeCell ref="A2:I2"/>
    <mergeCell ref="K2:L2"/>
    <mergeCell ref="AC2:AG3"/>
    <mergeCell ref="AH2:AJ2"/>
    <mergeCell ref="A3:I3"/>
    <mergeCell ref="K3:L3"/>
    <mergeCell ref="AH7:AJ7"/>
    <mergeCell ref="A8:C9"/>
    <mergeCell ref="D8:H9"/>
    <mergeCell ref="I8:I9"/>
    <mergeCell ref="J8:J9"/>
    <mergeCell ref="K8:L9"/>
    <mergeCell ref="AH8:AJ9"/>
    <mergeCell ref="A4:I4"/>
    <mergeCell ref="A5:C5"/>
    <mergeCell ref="D5:J5"/>
    <mergeCell ref="A6:C6"/>
    <mergeCell ref="D6:I6"/>
    <mergeCell ref="A7:C7"/>
    <mergeCell ref="D7:I7"/>
    <mergeCell ref="A10:C10"/>
    <mergeCell ref="D10:H11"/>
    <mergeCell ref="I10:I12"/>
    <mergeCell ref="J10:J13"/>
    <mergeCell ref="K10:L10"/>
    <mergeCell ref="A11:C11"/>
    <mergeCell ref="K11:L11"/>
    <mergeCell ref="A12:C12"/>
    <mergeCell ref="D12:H21"/>
    <mergeCell ref="K12:L12"/>
    <mergeCell ref="A20:C20"/>
    <mergeCell ref="K20:L20"/>
    <mergeCell ref="AE16:AF16"/>
    <mergeCell ref="AG16:AH16"/>
    <mergeCell ref="A17:C17"/>
    <mergeCell ref="K17:L17"/>
    <mergeCell ref="AE17:AF17"/>
    <mergeCell ref="AG17:AH17"/>
    <mergeCell ref="A13:C13"/>
    <mergeCell ref="K13:L13"/>
    <mergeCell ref="AC13:AD13"/>
    <mergeCell ref="AE13:AF13"/>
    <mergeCell ref="AG13:AJ13"/>
    <mergeCell ref="AC14:AD19"/>
    <mergeCell ref="AE14:AF14"/>
    <mergeCell ref="AG14:AH14"/>
    <mergeCell ref="AI14:AJ14"/>
    <mergeCell ref="AE15:AF15"/>
    <mergeCell ref="AC20:AD20"/>
    <mergeCell ref="AE20:AF20"/>
    <mergeCell ref="A21:C21"/>
    <mergeCell ref="K21:L21"/>
    <mergeCell ref="AI17:AJ17"/>
    <mergeCell ref="A18:C18"/>
    <mergeCell ref="K18:L18"/>
    <mergeCell ref="AE18:AF18"/>
    <mergeCell ref="A19:C19"/>
    <mergeCell ref="K19:L19"/>
    <mergeCell ref="AE19:AF19"/>
    <mergeCell ref="AG19:AH19"/>
    <mergeCell ref="AI19:AJ19"/>
    <mergeCell ref="B24:H24"/>
    <mergeCell ref="AC24:AF24"/>
    <mergeCell ref="AH24:AJ24"/>
    <mergeCell ref="AC25:AF25"/>
    <mergeCell ref="AC26:AF26"/>
    <mergeCell ref="A27:B27"/>
    <mergeCell ref="C27:H27"/>
    <mergeCell ref="A22:A23"/>
    <mergeCell ref="D22:H23"/>
    <mergeCell ref="I22:I23"/>
    <mergeCell ref="AH22:AJ22"/>
    <mergeCell ref="B23:C23"/>
    <mergeCell ref="AC23:AF23"/>
    <mergeCell ref="A30:B30"/>
    <mergeCell ref="C30:H30"/>
    <mergeCell ref="AC30:AF30"/>
    <mergeCell ref="AG30:AJ30"/>
    <mergeCell ref="AC31:AF31"/>
    <mergeCell ref="AG31:AJ31"/>
    <mergeCell ref="C28:H28"/>
    <mergeCell ref="A29:B29"/>
    <mergeCell ref="C29:H29"/>
    <mergeCell ref="J29:L29"/>
    <mergeCell ref="AC29:AF29"/>
    <mergeCell ref="AG29:AJ29"/>
    <mergeCell ref="B37:D43"/>
    <mergeCell ref="E37:G37"/>
    <mergeCell ref="AC37:AF37"/>
    <mergeCell ref="AG40:AJ40"/>
    <mergeCell ref="AC43:AF43"/>
    <mergeCell ref="B32:L32"/>
    <mergeCell ref="AC32:AF32"/>
    <mergeCell ref="A33:G33"/>
    <mergeCell ref="H33:L33"/>
    <mergeCell ref="AC33:AF33"/>
    <mergeCell ref="A34:A36"/>
    <mergeCell ref="B34:D36"/>
    <mergeCell ref="E34:G36"/>
    <mergeCell ref="H34:H35"/>
    <mergeCell ref="I34:I35"/>
    <mergeCell ref="AG43:AJ43"/>
    <mergeCell ref="AC44:AF44"/>
    <mergeCell ref="AG44:AJ44"/>
    <mergeCell ref="AC45:AF45"/>
    <mergeCell ref="AG45:AJ45"/>
    <mergeCell ref="J34:J35"/>
    <mergeCell ref="K34:L34"/>
    <mergeCell ref="AH35:AJ35"/>
    <mergeCell ref="AC36:AF36"/>
    <mergeCell ref="AH36:AJ36"/>
  </mergeCells>
  <dataValidations count="5">
    <dataValidation type="list" allowBlank="1" showInputMessage="1" showErrorMessage="1" sqref="I10" xr:uid="{00000000-0002-0000-0100-000000000000}">
      <formula1>INDIRECT($A$10)</formula1>
    </dataValidation>
    <dataValidation type="list" allowBlank="1" showInputMessage="1" showErrorMessage="1" sqref="A10:C10" xr:uid="{00000000-0002-0000-0100-000001000000}">
      <formula1>$O$2:$Q$2</formula1>
    </dataValidation>
    <dataValidation type="list" allowBlank="1" showInputMessage="1" showErrorMessage="1" sqref="WVX983042 JL7 TH7 ADD7 AMZ7 AWV7 BGR7 BQN7 CAJ7 CKF7 CUB7 DDX7 DNT7 DXP7 EHL7 ERH7 FBD7 FKZ7 FUV7 GER7 GON7 GYJ7 HIF7 HSB7 IBX7 ILT7 IVP7 JFL7 JPH7 JZD7 KIZ7 KSV7 LCR7 LMN7 LWJ7 MGF7 MQB7 MZX7 NJT7 NTP7 ODL7 ONH7 OXD7 PGZ7 PQV7 QAR7 QKN7 QUJ7 REF7 ROB7 RXX7 SHT7 SRP7 TBL7 TLH7 TVD7 UEZ7 UOV7 UYR7 VIN7 VSJ7 WCF7 WMB7 WVX7 JL65538 TH65538 ADD65538 AMZ65538 AWV65538 BGR65538 BQN65538 CAJ65538 CKF65538 CUB65538 DDX65538 DNT65538 DXP65538 EHL65538 ERH65538 FBD65538 FKZ65538 FUV65538 GER65538 GON65538 GYJ65538 HIF65538 HSB65538 IBX65538 ILT65538 IVP65538 JFL65538 JPH65538 JZD65538 KIZ65538 KSV65538 LCR65538 LMN65538 LWJ65538 MGF65538 MQB65538 MZX65538 NJT65538 NTP65538 ODL65538 ONH65538 OXD65538 PGZ65538 PQV65538 QAR65538 QKN65538 QUJ65538 REF65538 ROB65538 RXX65538 SHT65538 SRP65538 TBL65538 TLH65538 TVD65538 UEZ65538 UOV65538 UYR65538 VIN65538 VSJ65538 WCF65538 WMB65538 WVX65538 JL131074 TH131074 ADD131074 AMZ131074 AWV131074 BGR131074 BQN131074 CAJ131074 CKF131074 CUB131074 DDX131074 DNT131074 DXP131074 EHL131074 ERH131074 FBD131074 FKZ131074 FUV131074 GER131074 GON131074 GYJ131074 HIF131074 HSB131074 IBX131074 ILT131074 IVP131074 JFL131074 JPH131074 JZD131074 KIZ131074 KSV131074 LCR131074 LMN131074 LWJ131074 MGF131074 MQB131074 MZX131074 NJT131074 NTP131074 ODL131074 ONH131074 OXD131074 PGZ131074 PQV131074 QAR131074 QKN131074 QUJ131074 REF131074 ROB131074 RXX131074 SHT131074 SRP131074 TBL131074 TLH131074 TVD131074 UEZ131074 UOV131074 UYR131074 VIN131074 VSJ131074 WCF131074 WMB131074 WVX131074 JL196610 TH196610 ADD196610 AMZ196610 AWV196610 BGR196610 BQN196610 CAJ196610 CKF196610 CUB196610 DDX196610 DNT196610 DXP196610 EHL196610 ERH196610 FBD196610 FKZ196610 FUV196610 GER196610 GON196610 GYJ196610 HIF196610 HSB196610 IBX196610 ILT196610 IVP196610 JFL196610 JPH196610 JZD196610 KIZ196610 KSV196610 LCR196610 LMN196610 LWJ196610 MGF196610 MQB196610 MZX196610 NJT196610 NTP196610 ODL196610 ONH196610 OXD196610 PGZ196610 PQV196610 QAR196610 QKN196610 QUJ196610 REF196610 ROB196610 RXX196610 SHT196610 SRP196610 TBL196610 TLH196610 TVD196610 UEZ196610 UOV196610 UYR196610 VIN196610 VSJ196610 WCF196610 WMB196610 WVX196610 JL262146 TH262146 ADD262146 AMZ262146 AWV262146 BGR262146 BQN262146 CAJ262146 CKF262146 CUB262146 DDX262146 DNT262146 DXP262146 EHL262146 ERH262146 FBD262146 FKZ262146 FUV262146 GER262146 GON262146 GYJ262146 HIF262146 HSB262146 IBX262146 ILT262146 IVP262146 JFL262146 JPH262146 JZD262146 KIZ262146 KSV262146 LCR262146 LMN262146 LWJ262146 MGF262146 MQB262146 MZX262146 NJT262146 NTP262146 ODL262146 ONH262146 OXD262146 PGZ262146 PQV262146 QAR262146 QKN262146 QUJ262146 REF262146 ROB262146 RXX262146 SHT262146 SRP262146 TBL262146 TLH262146 TVD262146 UEZ262146 UOV262146 UYR262146 VIN262146 VSJ262146 WCF262146 WMB262146 WVX262146 JL327682 TH327682 ADD327682 AMZ327682 AWV327682 BGR327682 BQN327682 CAJ327682 CKF327682 CUB327682 DDX327682 DNT327682 DXP327682 EHL327682 ERH327682 FBD327682 FKZ327682 FUV327682 GER327682 GON327682 GYJ327682 HIF327682 HSB327682 IBX327682 ILT327682 IVP327682 JFL327682 JPH327682 JZD327682 KIZ327682 KSV327682 LCR327682 LMN327682 LWJ327682 MGF327682 MQB327682 MZX327682 NJT327682 NTP327682 ODL327682 ONH327682 OXD327682 PGZ327682 PQV327682 QAR327682 QKN327682 QUJ327682 REF327682 ROB327682 RXX327682 SHT327682 SRP327682 TBL327682 TLH327682 TVD327682 UEZ327682 UOV327682 UYR327682 VIN327682 VSJ327682 WCF327682 WMB327682 WVX327682 JL393218 TH393218 ADD393218 AMZ393218 AWV393218 BGR393218 BQN393218 CAJ393218 CKF393218 CUB393218 DDX393218 DNT393218 DXP393218 EHL393218 ERH393218 FBD393218 FKZ393218 FUV393218 GER393218 GON393218 GYJ393218 HIF393218 HSB393218 IBX393218 ILT393218 IVP393218 JFL393218 JPH393218 JZD393218 KIZ393218 KSV393218 LCR393218 LMN393218 LWJ393218 MGF393218 MQB393218 MZX393218 NJT393218 NTP393218 ODL393218 ONH393218 OXD393218 PGZ393218 PQV393218 QAR393218 QKN393218 QUJ393218 REF393218 ROB393218 RXX393218 SHT393218 SRP393218 TBL393218 TLH393218 TVD393218 UEZ393218 UOV393218 UYR393218 VIN393218 VSJ393218 WCF393218 WMB393218 WVX393218 JL458754 TH458754 ADD458754 AMZ458754 AWV458754 BGR458754 BQN458754 CAJ458754 CKF458754 CUB458754 DDX458754 DNT458754 DXP458754 EHL458754 ERH458754 FBD458754 FKZ458754 FUV458754 GER458754 GON458754 GYJ458754 HIF458754 HSB458754 IBX458754 ILT458754 IVP458754 JFL458754 JPH458754 JZD458754 KIZ458754 KSV458754 LCR458754 LMN458754 LWJ458754 MGF458754 MQB458754 MZX458754 NJT458754 NTP458754 ODL458754 ONH458754 OXD458754 PGZ458754 PQV458754 QAR458754 QKN458754 QUJ458754 REF458754 ROB458754 RXX458754 SHT458754 SRP458754 TBL458754 TLH458754 TVD458754 UEZ458754 UOV458754 UYR458754 VIN458754 VSJ458754 WCF458754 WMB458754 WVX458754 JL524290 TH524290 ADD524290 AMZ524290 AWV524290 BGR524290 BQN524290 CAJ524290 CKF524290 CUB524290 DDX524290 DNT524290 DXP524290 EHL524290 ERH524290 FBD524290 FKZ524290 FUV524290 GER524290 GON524290 GYJ524290 HIF524290 HSB524290 IBX524290 ILT524290 IVP524290 JFL524290 JPH524290 JZD524290 KIZ524290 KSV524290 LCR524290 LMN524290 LWJ524290 MGF524290 MQB524290 MZX524290 NJT524290 NTP524290 ODL524290 ONH524290 OXD524290 PGZ524290 PQV524290 QAR524290 QKN524290 QUJ524290 REF524290 ROB524290 RXX524290 SHT524290 SRP524290 TBL524290 TLH524290 TVD524290 UEZ524290 UOV524290 UYR524290 VIN524290 VSJ524290 WCF524290 WMB524290 WVX524290 JL589826 TH589826 ADD589826 AMZ589826 AWV589826 BGR589826 BQN589826 CAJ589826 CKF589826 CUB589826 DDX589826 DNT589826 DXP589826 EHL589826 ERH589826 FBD589826 FKZ589826 FUV589826 GER589826 GON589826 GYJ589826 HIF589826 HSB589826 IBX589826 ILT589826 IVP589826 JFL589826 JPH589826 JZD589826 KIZ589826 KSV589826 LCR589826 LMN589826 LWJ589826 MGF589826 MQB589826 MZX589826 NJT589826 NTP589826 ODL589826 ONH589826 OXD589826 PGZ589826 PQV589826 QAR589826 QKN589826 QUJ589826 REF589826 ROB589826 RXX589826 SHT589826 SRP589826 TBL589826 TLH589826 TVD589826 UEZ589826 UOV589826 UYR589826 VIN589826 VSJ589826 WCF589826 WMB589826 WVX589826 JL655362 TH655362 ADD655362 AMZ655362 AWV655362 BGR655362 BQN655362 CAJ655362 CKF655362 CUB655362 DDX655362 DNT655362 DXP655362 EHL655362 ERH655362 FBD655362 FKZ655362 FUV655362 GER655362 GON655362 GYJ655362 HIF655362 HSB655362 IBX655362 ILT655362 IVP655362 JFL655362 JPH655362 JZD655362 KIZ655362 KSV655362 LCR655362 LMN655362 LWJ655362 MGF655362 MQB655362 MZX655362 NJT655362 NTP655362 ODL655362 ONH655362 OXD655362 PGZ655362 PQV655362 QAR655362 QKN655362 QUJ655362 REF655362 ROB655362 RXX655362 SHT655362 SRP655362 TBL655362 TLH655362 TVD655362 UEZ655362 UOV655362 UYR655362 VIN655362 VSJ655362 WCF655362 WMB655362 WVX655362 JL720898 TH720898 ADD720898 AMZ720898 AWV720898 BGR720898 BQN720898 CAJ720898 CKF720898 CUB720898 DDX720898 DNT720898 DXP720898 EHL720898 ERH720898 FBD720898 FKZ720898 FUV720898 GER720898 GON720898 GYJ720898 HIF720898 HSB720898 IBX720898 ILT720898 IVP720898 JFL720898 JPH720898 JZD720898 KIZ720898 KSV720898 LCR720898 LMN720898 LWJ720898 MGF720898 MQB720898 MZX720898 NJT720898 NTP720898 ODL720898 ONH720898 OXD720898 PGZ720898 PQV720898 QAR720898 QKN720898 QUJ720898 REF720898 ROB720898 RXX720898 SHT720898 SRP720898 TBL720898 TLH720898 TVD720898 UEZ720898 UOV720898 UYR720898 VIN720898 VSJ720898 WCF720898 WMB720898 WVX720898 JL786434 TH786434 ADD786434 AMZ786434 AWV786434 BGR786434 BQN786434 CAJ786434 CKF786434 CUB786434 DDX786434 DNT786434 DXP786434 EHL786434 ERH786434 FBD786434 FKZ786434 FUV786434 GER786434 GON786434 GYJ786434 HIF786434 HSB786434 IBX786434 ILT786434 IVP786434 JFL786434 JPH786434 JZD786434 KIZ786434 KSV786434 LCR786434 LMN786434 LWJ786434 MGF786434 MQB786434 MZX786434 NJT786434 NTP786434 ODL786434 ONH786434 OXD786434 PGZ786434 PQV786434 QAR786434 QKN786434 QUJ786434 REF786434 ROB786434 RXX786434 SHT786434 SRP786434 TBL786434 TLH786434 TVD786434 UEZ786434 UOV786434 UYR786434 VIN786434 VSJ786434 WCF786434 WMB786434 WVX786434 JL851970 TH851970 ADD851970 AMZ851970 AWV851970 BGR851970 BQN851970 CAJ851970 CKF851970 CUB851970 DDX851970 DNT851970 DXP851970 EHL851970 ERH851970 FBD851970 FKZ851970 FUV851970 GER851970 GON851970 GYJ851970 HIF851970 HSB851970 IBX851970 ILT851970 IVP851970 JFL851970 JPH851970 JZD851970 KIZ851970 KSV851970 LCR851970 LMN851970 LWJ851970 MGF851970 MQB851970 MZX851970 NJT851970 NTP851970 ODL851970 ONH851970 OXD851970 PGZ851970 PQV851970 QAR851970 QKN851970 QUJ851970 REF851970 ROB851970 RXX851970 SHT851970 SRP851970 TBL851970 TLH851970 TVD851970 UEZ851970 UOV851970 UYR851970 VIN851970 VSJ851970 WCF851970 WMB851970 WVX851970 JL917506 TH917506 ADD917506 AMZ917506 AWV917506 BGR917506 BQN917506 CAJ917506 CKF917506 CUB917506 DDX917506 DNT917506 DXP917506 EHL917506 ERH917506 FBD917506 FKZ917506 FUV917506 GER917506 GON917506 GYJ917506 HIF917506 HSB917506 IBX917506 ILT917506 IVP917506 JFL917506 JPH917506 JZD917506 KIZ917506 KSV917506 LCR917506 LMN917506 LWJ917506 MGF917506 MQB917506 MZX917506 NJT917506 NTP917506 ODL917506 ONH917506 OXD917506 PGZ917506 PQV917506 QAR917506 QKN917506 QUJ917506 REF917506 ROB917506 RXX917506 SHT917506 SRP917506 TBL917506 TLH917506 TVD917506 UEZ917506 UOV917506 UYR917506 VIN917506 VSJ917506 WCF917506 WMB917506 WVX917506 JL983042 TH983042 ADD983042 AMZ983042 AWV983042 BGR983042 BQN983042 CAJ983042 CKF983042 CUB983042 DDX983042 DNT983042 DXP983042 EHL983042 ERH983042 FBD983042 FKZ983042 FUV983042 GER983042 GON983042 GYJ983042 HIF983042 HSB983042 IBX983042 ILT983042 IVP983042 JFL983042 JPH983042 JZD983042 KIZ983042 KSV983042 LCR983042 LMN983042 LWJ983042 MGF983042 MQB983042 MZX983042 NJT983042 NTP983042 ODL983042 ONH983042 OXD983042 PGZ983042 PQV983042 QAR983042 QKN983042 QUJ983042 REF983042 ROB983042 RXX983042 SHT983042 SRP983042 TBL983042 TLH983042 TVD983042 UEZ983042 UOV983042 UYR983042 VIN983042 VSJ983042 WCF983042 WMB983042" xr:uid="{00000000-0002-0000-0100-000002000000}">
      <formula1>"NEDA Fund, RDC Fund, Trust Fund (please specify here)"</formula1>
    </dataValidation>
    <dataValidation showInputMessage="1" showErrorMessage="1" sqref="K3:L3" xr:uid="{00000000-0002-0000-0100-000003000000}"/>
    <dataValidation type="list" showInputMessage="1" showErrorMessage="1" sqref="J10" xr:uid="{00000000-0002-0000-0100-000004000000}">
      <formula1>UACS</formula1>
    </dataValidation>
  </dataValidations>
  <printOptions horizontalCentered="1"/>
  <pageMargins left="0.66122047244094495" right="0.23622047244094491" top="0.74803149606299213" bottom="0.74803149606299213" header="0.31496062992125984" footer="0.31496062992125984"/>
  <pageSetup paperSize="9" scale="78"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073" r:id="rId4" name="Check Box 1">
              <controlPr defaultSize="0" autoFill="0" autoLine="0" autoPict="0">
                <anchor moveWithCells="1">
                  <from>
                    <xdr:col>0</xdr:col>
                    <xdr:colOff>0</xdr:colOff>
                    <xdr:row>10</xdr:row>
                    <xdr:rowOff>121920</xdr:rowOff>
                  </from>
                  <to>
                    <xdr:col>0</xdr:col>
                    <xdr:colOff>708660</xdr:colOff>
                    <xdr:row>11</xdr:row>
                    <xdr:rowOff>160020</xdr:rowOff>
                  </to>
                </anchor>
              </controlPr>
            </control>
          </mc:Choice>
        </mc:AlternateContent>
        <mc:AlternateContent xmlns:mc="http://schemas.openxmlformats.org/markup-compatibility/2006">
          <mc:Choice Requires="x14">
            <control shapeId="3074" r:id="rId5" name="Check Box 2">
              <controlPr defaultSize="0" autoFill="0" autoLine="0" autoPict="0">
                <anchor moveWithCells="1">
                  <from>
                    <xdr:col>0</xdr:col>
                    <xdr:colOff>0</xdr:colOff>
                    <xdr:row>11</xdr:row>
                    <xdr:rowOff>121920</xdr:rowOff>
                  </from>
                  <to>
                    <xdr:col>0</xdr:col>
                    <xdr:colOff>708660</xdr:colOff>
                    <xdr:row>12</xdr:row>
                    <xdr:rowOff>152400</xdr:rowOff>
                  </to>
                </anchor>
              </controlPr>
            </control>
          </mc:Choice>
        </mc:AlternateContent>
        <mc:AlternateContent xmlns:mc="http://schemas.openxmlformats.org/markup-compatibility/2006">
          <mc:Choice Requires="x14">
            <control shapeId="3075" r:id="rId6" name="Check Box 3">
              <controlPr defaultSize="0" autoFill="0" autoLine="0" autoPict="0">
                <anchor moveWithCells="1">
                  <from>
                    <xdr:col>0</xdr:col>
                    <xdr:colOff>0</xdr:colOff>
                    <xdr:row>12</xdr:row>
                    <xdr:rowOff>121920</xdr:rowOff>
                  </from>
                  <to>
                    <xdr:col>0</xdr:col>
                    <xdr:colOff>708660</xdr:colOff>
                    <xdr:row>13</xdr:row>
                    <xdr:rowOff>152400</xdr:rowOff>
                  </to>
                </anchor>
              </controlPr>
            </control>
          </mc:Choice>
        </mc:AlternateContent>
        <mc:AlternateContent xmlns:mc="http://schemas.openxmlformats.org/markup-compatibility/2006">
          <mc:Choice Requires="x14">
            <control shapeId="3076" r:id="rId7" name="Check Box 4">
              <controlPr defaultSize="0" autoFill="0" autoLine="0" autoPict="0">
                <anchor moveWithCells="1">
                  <from>
                    <xdr:col>0</xdr:col>
                    <xdr:colOff>0</xdr:colOff>
                    <xdr:row>13</xdr:row>
                    <xdr:rowOff>121920</xdr:rowOff>
                  </from>
                  <to>
                    <xdr:col>0</xdr:col>
                    <xdr:colOff>708660</xdr:colOff>
                    <xdr:row>14</xdr:row>
                    <xdr:rowOff>152400</xdr:rowOff>
                  </to>
                </anchor>
              </controlPr>
            </control>
          </mc:Choice>
        </mc:AlternateContent>
        <mc:AlternateContent xmlns:mc="http://schemas.openxmlformats.org/markup-compatibility/2006">
          <mc:Choice Requires="x14">
            <control shapeId="3077" r:id="rId8" name="Check Box 5">
              <controlPr defaultSize="0" autoFill="0" autoLine="0" autoPict="0">
                <anchor moveWithCells="1">
                  <from>
                    <xdr:col>0</xdr:col>
                    <xdr:colOff>0</xdr:colOff>
                    <xdr:row>13</xdr:row>
                    <xdr:rowOff>121920</xdr:rowOff>
                  </from>
                  <to>
                    <xdr:col>0</xdr:col>
                    <xdr:colOff>708660</xdr:colOff>
                    <xdr:row>14</xdr:row>
                    <xdr:rowOff>152400</xdr:rowOff>
                  </to>
                </anchor>
              </controlPr>
            </control>
          </mc:Choice>
        </mc:AlternateContent>
        <mc:AlternateContent xmlns:mc="http://schemas.openxmlformats.org/markup-compatibility/2006">
          <mc:Choice Requires="x14">
            <control shapeId="3078" r:id="rId9" name="Check Box 6">
              <controlPr defaultSize="0" autoFill="0" autoLine="0" autoPict="0">
                <anchor moveWithCells="1">
                  <from>
                    <xdr:col>0</xdr:col>
                    <xdr:colOff>0</xdr:colOff>
                    <xdr:row>14</xdr:row>
                    <xdr:rowOff>121920</xdr:rowOff>
                  </from>
                  <to>
                    <xdr:col>0</xdr:col>
                    <xdr:colOff>708660</xdr:colOff>
                    <xdr:row>15</xdr:row>
                    <xdr:rowOff>152400</xdr:rowOff>
                  </to>
                </anchor>
              </controlPr>
            </control>
          </mc:Choice>
        </mc:AlternateContent>
        <mc:AlternateContent xmlns:mc="http://schemas.openxmlformats.org/markup-compatibility/2006">
          <mc:Choice Requires="x14">
            <control shapeId="3079" r:id="rId10" name="Check Box 7">
              <controlPr defaultSize="0" autoFill="0" autoLine="0" autoPict="0">
                <anchor moveWithCells="1">
                  <from>
                    <xdr:col>0</xdr:col>
                    <xdr:colOff>0</xdr:colOff>
                    <xdr:row>14</xdr:row>
                    <xdr:rowOff>121920</xdr:rowOff>
                  </from>
                  <to>
                    <xdr:col>0</xdr:col>
                    <xdr:colOff>708660</xdr:colOff>
                    <xdr:row>15</xdr:row>
                    <xdr:rowOff>152400</xdr:rowOff>
                  </to>
                </anchor>
              </controlPr>
            </control>
          </mc:Choice>
        </mc:AlternateContent>
        <mc:AlternateContent xmlns:mc="http://schemas.openxmlformats.org/markup-compatibility/2006">
          <mc:Choice Requires="x14">
            <control shapeId="3080" r:id="rId11" name="Check Box 8">
              <controlPr defaultSize="0" autoFill="0" autoLine="0" autoPict="0">
                <anchor moveWithCells="1">
                  <from>
                    <xdr:col>0</xdr:col>
                    <xdr:colOff>0</xdr:colOff>
                    <xdr:row>15</xdr:row>
                    <xdr:rowOff>121920</xdr:rowOff>
                  </from>
                  <to>
                    <xdr:col>0</xdr:col>
                    <xdr:colOff>708660</xdr:colOff>
                    <xdr:row>16</xdr:row>
                    <xdr:rowOff>152400</xdr:rowOff>
                  </to>
                </anchor>
              </controlPr>
            </control>
          </mc:Choice>
        </mc:AlternateContent>
        <mc:AlternateContent xmlns:mc="http://schemas.openxmlformats.org/markup-compatibility/2006">
          <mc:Choice Requires="x14">
            <control shapeId="3081" r:id="rId12" name="Check Box 9">
              <controlPr defaultSize="0" autoFill="0" autoLine="0" autoPict="0">
                <anchor moveWithCells="1">
                  <from>
                    <xdr:col>0</xdr:col>
                    <xdr:colOff>0</xdr:colOff>
                    <xdr:row>15</xdr:row>
                    <xdr:rowOff>121920</xdr:rowOff>
                  </from>
                  <to>
                    <xdr:col>0</xdr:col>
                    <xdr:colOff>708660</xdr:colOff>
                    <xdr:row>16</xdr:row>
                    <xdr:rowOff>152400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7"/>
  <sheetViews>
    <sheetView workbookViewId="0">
      <selection activeCell="E8" sqref="E8"/>
    </sheetView>
  </sheetViews>
  <sheetFormatPr defaultRowHeight="14.4" x14ac:dyDescent="0.3"/>
  <cols>
    <col min="1" max="1" width="30.6640625" customWidth="1"/>
    <col min="2" max="2" width="9.44140625" customWidth="1"/>
    <col min="3" max="3" width="7.21875" customWidth="1"/>
    <col min="4" max="4" width="7.44140625" customWidth="1"/>
    <col min="5" max="5" width="6.6640625" customWidth="1"/>
    <col min="6" max="6" width="9.109375" customWidth="1"/>
  </cols>
  <sheetData>
    <row r="1" spans="1:6" ht="18" x14ac:dyDescent="0.35">
      <c r="E1" s="168"/>
      <c r="F1" s="169" t="s">
        <v>130</v>
      </c>
    </row>
    <row r="4" spans="1:6" x14ac:dyDescent="0.3">
      <c r="A4" t="s">
        <v>131</v>
      </c>
      <c r="F4" s="170"/>
    </row>
    <row r="6" spans="1:6" ht="28.05" customHeight="1" x14ac:dyDescent="0.3">
      <c r="A6" s="424" t="s">
        <v>132</v>
      </c>
      <c r="B6" s="424" t="s">
        <v>133</v>
      </c>
      <c r="C6" s="424" t="s">
        <v>134</v>
      </c>
      <c r="D6" s="426" t="s">
        <v>135</v>
      </c>
      <c r="E6" s="427"/>
      <c r="F6" s="424" t="s">
        <v>136</v>
      </c>
    </row>
    <row r="7" spans="1:6" ht="24.45" customHeight="1" x14ac:dyDescent="0.3">
      <c r="A7" s="425"/>
      <c r="B7" s="425"/>
      <c r="C7" s="425"/>
      <c r="D7" s="171" t="s">
        <v>137</v>
      </c>
      <c r="E7" s="171" t="s">
        <v>138</v>
      </c>
      <c r="F7" s="425"/>
    </row>
    <row r="8" spans="1:6" ht="25.95" customHeight="1" x14ac:dyDescent="0.3">
      <c r="A8" s="172" t="s">
        <v>139</v>
      </c>
      <c r="B8" s="173">
        <v>1500</v>
      </c>
      <c r="C8" s="174">
        <f>B8*0.5</f>
        <v>750</v>
      </c>
      <c r="D8" s="174">
        <f>B8*0.3</f>
        <v>450</v>
      </c>
      <c r="E8" s="174">
        <f>D8/3</f>
        <v>150</v>
      </c>
      <c r="F8" s="174">
        <f>B8*0.2</f>
        <v>300</v>
      </c>
    </row>
    <row r="9" spans="1:6" ht="25.95" customHeight="1" x14ac:dyDescent="0.3">
      <c r="A9" s="172" t="s">
        <v>140</v>
      </c>
      <c r="B9" s="173">
        <v>1800</v>
      </c>
      <c r="C9" s="174">
        <f t="shared" ref="C9:C10" si="0">B9*0.5</f>
        <v>900</v>
      </c>
      <c r="D9" s="174">
        <f t="shared" ref="D9:D10" si="1">B9*0.3</f>
        <v>540</v>
      </c>
      <c r="E9" s="174">
        <f>D9/3</f>
        <v>180</v>
      </c>
      <c r="F9" s="174">
        <f t="shared" ref="F9:F10" si="2">B9*0.2</f>
        <v>360</v>
      </c>
    </row>
    <row r="10" spans="1:6" ht="25.95" customHeight="1" x14ac:dyDescent="0.3">
      <c r="A10" s="172" t="s">
        <v>141</v>
      </c>
      <c r="B10" s="173">
        <v>2200</v>
      </c>
      <c r="C10" s="174">
        <f t="shared" si="0"/>
        <v>1100</v>
      </c>
      <c r="D10" s="174">
        <f t="shared" si="1"/>
        <v>660</v>
      </c>
      <c r="E10" s="174">
        <f>D10/3</f>
        <v>220</v>
      </c>
      <c r="F10" s="174">
        <f t="shared" si="2"/>
        <v>440</v>
      </c>
    </row>
    <row r="13" spans="1:6" x14ac:dyDescent="0.3">
      <c r="A13" s="175" t="s">
        <v>142</v>
      </c>
    </row>
    <row r="14" spans="1:6" ht="52.95" customHeight="1" x14ac:dyDescent="0.3">
      <c r="A14" s="422" t="s">
        <v>143</v>
      </c>
      <c r="B14" s="422"/>
      <c r="C14" s="422"/>
      <c r="D14" s="422"/>
      <c r="E14" s="422"/>
      <c r="F14" s="422"/>
    </row>
    <row r="15" spans="1:6" ht="46.5" customHeight="1" x14ac:dyDescent="0.3">
      <c r="A15" s="422" t="s">
        <v>144</v>
      </c>
      <c r="B15" s="422"/>
      <c r="C15" s="422"/>
      <c r="D15" s="422"/>
      <c r="E15" s="422"/>
      <c r="F15" s="422"/>
    </row>
    <row r="16" spans="1:6" ht="54" customHeight="1" x14ac:dyDescent="0.3">
      <c r="A16" s="423" t="s">
        <v>145</v>
      </c>
      <c r="B16" s="423"/>
      <c r="C16" s="423"/>
      <c r="D16" s="423"/>
      <c r="E16" s="423"/>
      <c r="F16" s="423"/>
    </row>
    <row r="17" ht="73.95" customHeight="1" x14ac:dyDescent="0.3"/>
  </sheetData>
  <mergeCells count="8">
    <mergeCell ref="A15:F15"/>
    <mergeCell ref="A16:F16"/>
    <mergeCell ref="A6:A7"/>
    <mergeCell ref="B6:B7"/>
    <mergeCell ref="C6:C7"/>
    <mergeCell ref="D6:E6"/>
    <mergeCell ref="F6:F7"/>
    <mergeCell ref="A14:F14"/>
  </mergeCells>
  <printOptions horizontalCentered="1"/>
  <pageMargins left="0.70866141732283472" right="0.70866141732283472" top="0.74803149606299213" bottom="0.74803149606299213" header="0.31496062992125984" footer="0.31496062992125984"/>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10</vt:i4>
      </vt:variant>
    </vt:vector>
  </HeadingPairs>
  <TitlesOfParts>
    <vt:vector size="13" baseType="lpstr">
      <vt:lpstr>TOI</vt:lpstr>
      <vt:lpstr>ORS-BURS</vt:lpstr>
      <vt:lpstr>Rates</vt:lpstr>
      <vt:lpstr>'ORS-BURS'!MFO</vt:lpstr>
      <vt:lpstr>NEDA</vt:lpstr>
      <vt:lpstr>NEDA_General_Fund</vt:lpstr>
      <vt:lpstr>'ORS-BURS'!Print_Area</vt:lpstr>
      <vt:lpstr>TOI!Print_Area</vt:lpstr>
      <vt:lpstr>RDC</vt:lpstr>
      <vt:lpstr>RDC_General_Fund</vt:lpstr>
      <vt:lpstr>Trust</vt:lpstr>
      <vt:lpstr>Trust_Fund</vt:lpstr>
      <vt:lpstr>'ORS-BURS'!UACS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ILI_FAD HR</dc:creator>
  <cp:lastModifiedBy>Ronaldo B. Bañas</cp:lastModifiedBy>
  <cp:lastPrinted>2025-09-17T07:27:20Z</cp:lastPrinted>
  <dcterms:created xsi:type="dcterms:W3CDTF">2018-09-24T07:57:40Z</dcterms:created>
  <dcterms:modified xsi:type="dcterms:W3CDTF">2025-09-17T07:28:12Z</dcterms:modified>
</cp:coreProperties>
</file>